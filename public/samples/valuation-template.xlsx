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YR Financials" sheetId="1" r:id="rId5"/>
    <sheet state="visible" name="Normalized Calculations" sheetId="2" r:id="rId6"/>
  </sheets>
  <definedNames/>
  <calcPr/>
</workbook>
</file>

<file path=xl/sharedStrings.xml><?xml version="1.0" encoding="utf-8"?>
<sst xmlns="http://schemas.openxmlformats.org/spreadsheetml/2006/main" count="136" uniqueCount="91">
  <si>
    <t>Category</t>
  </si>
  <si>
    <t>Notes-TM</t>
  </si>
  <si>
    <t>row</t>
  </si>
  <si>
    <t>REVENUES</t>
  </si>
  <si>
    <t>COST OF SALES</t>
  </si>
  <si>
    <t>Gross Profit</t>
  </si>
  <si>
    <r>
      <rPr>
        <rFont val="Aptos Display"/>
        <b/>
        <color rgb="FF104861"/>
        <sz val="11.0"/>
      </rPr>
      <t xml:space="preserve">EXPENSES
</t>
    </r>
    <r>
      <rPr>
        <rFont val="Aptos Display"/>
        <color rgb="FF104861"/>
        <sz val="11.0"/>
      </rPr>
      <t>Payroll expense</t>
    </r>
  </si>
  <si>
    <t>Salaries and Wages</t>
  </si>
  <si>
    <t>Wage Remittances (WCB, EI, CPP)</t>
  </si>
  <si>
    <t>Bonuses Paid</t>
  </si>
  <si>
    <t>Employee Benefits</t>
  </si>
  <si>
    <t>Accounting &amp; Legal</t>
  </si>
  <si>
    <t>Bookkeeping</t>
  </si>
  <si>
    <t>Advertising &amp; Promotions</t>
  </si>
  <si>
    <t>Credit Card Fees</t>
  </si>
  <si>
    <t>Customs/Duty Expense</t>
  </si>
  <si>
    <t>Donations</t>
  </si>
  <si>
    <t>Grooming</t>
  </si>
  <si>
    <t>Insurance</t>
  </si>
  <si>
    <t>Interest &amp; Bank Charges</t>
  </si>
  <si>
    <t>Interest on LTD</t>
  </si>
  <si>
    <t>Janitorial &amp; Cleaning</t>
  </si>
  <si>
    <t>Meals &amp; Entertainment</t>
  </si>
  <si>
    <t>Memberships, Dues &amp; Fees</t>
  </si>
  <si>
    <t>Office Supplies</t>
  </si>
  <si>
    <t>Rent</t>
  </si>
  <si>
    <t>Repair &amp; Maintenance</t>
  </si>
  <si>
    <t>Royalties</t>
  </si>
  <si>
    <t>Security</t>
  </si>
  <si>
    <t>Supplies &amp; Small Tools</t>
  </si>
  <si>
    <t>Telephone</t>
  </si>
  <si>
    <t>Travel</t>
  </si>
  <si>
    <t>Utilities</t>
  </si>
  <si>
    <t>Vehicle</t>
  </si>
  <si>
    <t>Total Expenses</t>
  </si>
  <si>
    <t>COGS</t>
  </si>
  <si>
    <t>NET INCOME (LOSS)</t>
  </si>
  <si>
    <t>Equipment Value</t>
  </si>
  <si>
    <t>2025 Normalized Financials -Insert Company Name &amp; Date</t>
  </si>
  <si>
    <t>2024 Normalized Financials - Insert Company Name &amp; Date</t>
  </si>
  <si>
    <t>YE 2025                                     July 31, 2025</t>
  </si>
  <si>
    <t>YE 2025 Normalized</t>
  </si>
  <si>
    <t xml:space="preserve"> Notes</t>
  </si>
  <si>
    <t>2024 Year End</t>
  </si>
  <si>
    <t>YE 2024 Normalized</t>
  </si>
  <si>
    <t>Notes - TM</t>
  </si>
  <si>
    <t>REVENUE - SALES</t>
  </si>
  <si>
    <t xml:space="preserve"> </t>
  </si>
  <si>
    <t>EXPENSES</t>
  </si>
  <si>
    <t xml:space="preserve">Tammy to completed </t>
  </si>
  <si>
    <t>tammy to Complete</t>
  </si>
  <si>
    <t>Amortization / Depreciation</t>
  </si>
  <si>
    <t>TOTAL</t>
  </si>
  <si>
    <t>INCOME FROM OPERATIONS</t>
  </si>
  <si>
    <t>SDE Multiples</t>
  </si>
  <si>
    <t>Normalized Net</t>
  </si>
  <si>
    <t xml:space="preserve">Average SDE Multiple Range: </t>
  </si>
  <si>
    <t>Inventory (wholesale)</t>
  </si>
  <si>
    <t>Long term assets (Balance of Franchise Fee)</t>
  </si>
  <si>
    <t>**</t>
  </si>
  <si>
    <t>Opened 2021</t>
  </si>
  <si>
    <t>Furniture, Fixtures, Equipment (FFE) - approx</t>
  </si>
  <si>
    <t>SDE Calculation + FFE and Inventory</t>
  </si>
  <si>
    <t>2.44 - 2.94</t>
  </si>
  <si>
    <t>SDE</t>
  </si>
  <si>
    <t xml:space="preserve">Inventory Wholesale </t>
  </si>
  <si>
    <t>Long term Assets</t>
  </si>
  <si>
    <t>opened 2021</t>
  </si>
  <si>
    <t xml:space="preserve">Subtotal </t>
  </si>
  <si>
    <t>Notes</t>
  </si>
  <si>
    <t>Asset Based</t>
  </si>
  <si>
    <t>This reflects:</t>
  </si>
  <si>
    <t>Furnishings / Fixtures and Equipment</t>
  </si>
  <si>
    <t>SDE-backed valuation</t>
  </si>
  <si>
    <t>Included hard assets (~$216K in inventory + FF&amp;E)</t>
  </si>
  <si>
    <t>Goodwill</t>
  </si>
  <si>
    <t xml:space="preserve">Franchise brand value, goodwill, growth potential  </t>
  </si>
  <si>
    <t>Asset Calculation</t>
  </si>
  <si>
    <t>$354K – $409K</t>
  </si>
  <si>
    <t>2) Capitalized cash flow</t>
  </si>
  <si>
    <t>3 year normalized cash flow after tax</t>
  </si>
  <si>
    <t>Capitalziation rate (using WACC)</t>
  </si>
  <si>
    <t>Interest beating debt</t>
  </si>
  <si>
    <t>Expand</t>
  </si>
  <si>
    <t>Item</t>
  </si>
  <si>
    <t>Mid</t>
  </si>
  <si>
    <t>High</t>
  </si>
  <si>
    <t>Business (SDE-based)</t>
  </si>
  <si>
    <t>Inventory</t>
  </si>
  <si>
    <t>Fixtures/Assets</t>
  </si>
  <si>
    <t>Total Value 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</si>
</sst>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&quot;$&quot;* #,##0.00_-;\-&quot;$&quot;* #,##0.00_-;_-&quot;$&quot;* &quot;-&quot;??_-;_-@"/>
    <numFmt numFmtId="165" formatCode="&quot;$&quot;#,##0.00;[Red]\-&quot;$&quot;#,##0.00"/>
    <numFmt numFmtId="166" formatCode="_-[$$-1009]* #,##0.00_-;\-[$$-1009]* #,##0.00_-;_-[$$-1009]* &quot;-&quot;??_-;_-@"/>
    <numFmt numFmtId="167" formatCode="0.0%"/>
  </numFmts>
  <fonts count="23">
    <font>
      <sz val="12.0"/>
      <color theme="1"/>
      <name val="Times New Roman"/>
      <scheme val="minor"/>
    </font>
    <font>
      <sz val="11.0"/>
      <color rgb="FFFFFFFF"/>
      <name val="Play"/>
    </font>
    <font>
      <b/>
      <sz val="11.0"/>
      <color theme="0"/>
      <name val="Play"/>
    </font>
    <font>
      <sz val="10.0"/>
      <color theme="1"/>
      <name val="Arial"/>
    </font>
    <font>
      <b/>
      <sz val="11.0"/>
      <color rgb="FF0F4861"/>
      <name val="Play"/>
    </font>
    <font>
      <sz val="11.0"/>
      <color rgb="FF0F4861"/>
      <name val="Play"/>
    </font>
    <font>
      <sz val="10.0"/>
      <color rgb="FF0F4861"/>
      <name val="Play"/>
    </font>
    <font>
      <sz val="11.0"/>
      <color rgb="FF104861"/>
      <name val="Play"/>
    </font>
    <font>
      <sz val="11.0"/>
      <color theme="4"/>
      <name val="Play"/>
    </font>
    <font>
      <sz val="11.0"/>
      <color rgb="FFFF0000"/>
      <name val="Play"/>
    </font>
    <font>
      <sz val="11.0"/>
      <color rgb="FF0F4861"/>
      <name val="Arial"/>
    </font>
    <font>
      <sz val="10.0"/>
      <color rgb="FF0F4861"/>
      <name val="Arial"/>
    </font>
    <font>
      <b/>
      <sz val="10.0"/>
      <color theme="0"/>
      <name val="Arial"/>
    </font>
    <font>
      <b/>
      <sz val="11.0"/>
      <color rgb="FF153D64"/>
      <name val="Play"/>
    </font>
    <font>
      <b/>
      <sz val="11.0"/>
      <color rgb="FFFF0000"/>
      <name val="Play"/>
    </font>
    <font>
      <sz val="11.0"/>
      <color rgb="FFDBE9F7"/>
      <name val="Play"/>
    </font>
    <font>
      <i/>
      <sz val="11.0"/>
      <color rgb="FF0F4861"/>
      <name val="Play"/>
    </font>
    <font>
      <i/>
      <sz val="10.0"/>
      <color rgb="FF0F4861"/>
      <name val="Play"/>
    </font>
    <font>
      <b/>
      <sz val="10.0"/>
      <color rgb="FF0F4861"/>
      <name val="Play"/>
    </font>
    <font>
      <sz val="12.0"/>
      <color theme="1"/>
      <name val="Play"/>
    </font>
    <font>
      <b/>
      <sz val="12.0"/>
      <color theme="1"/>
      <name val="Times New Roman"/>
    </font>
    <font>
      <sz val="12.0"/>
      <color theme="1"/>
      <name val="Times New Roman"/>
    </font>
    <font>
      <b/>
      <sz val="11.0"/>
      <color theme="4"/>
      <name val="Play"/>
    </font>
  </fonts>
  <fills count="7">
    <fill>
      <patternFill patternType="none"/>
    </fill>
    <fill>
      <patternFill patternType="lightGray"/>
    </fill>
    <fill>
      <patternFill patternType="solid">
        <fgColor rgb="FF0F4861"/>
        <bgColor rgb="FF0F4861"/>
      </patternFill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  <fill>
      <patternFill patternType="solid">
        <fgColor rgb="FFDBE9F7"/>
        <bgColor rgb="FFDBE9F7"/>
      </patternFill>
    </fill>
    <fill>
      <patternFill patternType="solid">
        <fgColor rgb="FFC1F0C8"/>
        <bgColor rgb="FFC1F0C8"/>
      </patternFill>
    </fill>
  </fills>
  <borders count="8">
    <border/>
    <border>
      <left/>
      <right/>
      <top/>
      <bottom/>
    </border>
    <border>
      <left/>
      <right/>
      <top style="thin">
        <color rgb="FF000000"/>
      </top>
      <bottom/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1" xfId="0" applyAlignment="1" applyBorder="1" applyFont="1" applyNumberFormat="1">
      <alignment horizontal="center" shrinkToFit="1" vertical="top" wrapText="0"/>
    </xf>
    <xf borderId="1" fillId="2" fontId="2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center"/>
    </xf>
    <xf borderId="0" fillId="0" fontId="5" numFmtId="164" xfId="0" applyAlignment="1" applyFont="1" applyNumberFormat="1">
      <alignment shrinkToFit="1" vertical="center" wrapText="0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horizontal="left"/>
    </xf>
    <xf borderId="0" fillId="0" fontId="5" numFmtId="164" xfId="0" applyFont="1" applyNumberFormat="1"/>
    <xf borderId="0" fillId="0" fontId="6" numFmtId="0" xfId="0" applyAlignment="1" applyFont="1">
      <alignment horizontal="left"/>
    </xf>
    <xf borderId="0" fillId="0" fontId="6" numFmtId="164" xfId="0" applyFont="1" applyNumberFormat="1"/>
    <xf borderId="0" fillId="0" fontId="6" numFmtId="0" xfId="0" applyAlignment="1" applyFont="1">
      <alignment horizontal="center" readingOrder="0"/>
    </xf>
    <xf borderId="0" fillId="0" fontId="6" numFmtId="164" xfId="0" applyAlignment="1" applyFont="1" applyNumberFormat="1">
      <alignment horizontal="left"/>
    </xf>
    <xf borderId="0" fillId="0" fontId="5" numFmtId="0" xfId="0" applyAlignment="1" applyFont="1">
      <alignment vertical="top"/>
    </xf>
    <xf borderId="0" fillId="0" fontId="5" numFmtId="0" xfId="0" applyFont="1"/>
    <xf borderId="1" fillId="3" fontId="5" numFmtId="0" xfId="0" applyAlignment="1" applyBorder="1" applyFill="1" applyFont="1">
      <alignment vertical="top"/>
    </xf>
    <xf borderId="2" fillId="3" fontId="5" numFmtId="164" xfId="0" applyAlignment="1" applyBorder="1" applyFont="1" applyNumberFormat="1">
      <alignment shrinkToFit="1" vertical="center" wrapText="0"/>
    </xf>
    <xf borderId="0" fillId="0" fontId="7" numFmtId="0" xfId="0" applyAlignment="1" applyFont="1">
      <alignment shrinkToFit="0" vertical="top" wrapText="1"/>
    </xf>
    <xf borderId="0" fillId="0" fontId="5" numFmtId="164" xfId="0" applyAlignment="1" applyFont="1" applyNumberFormat="1">
      <alignment vertical="center"/>
    </xf>
    <xf borderId="0" fillId="0" fontId="8" numFmtId="0" xfId="0" applyAlignment="1" applyFont="1">
      <alignment horizontal="left" shrinkToFit="0" vertical="top" wrapText="1"/>
    </xf>
    <xf borderId="1" fillId="4" fontId="5" numFmtId="164" xfId="0" applyAlignment="1" applyBorder="1" applyFill="1" applyFont="1" applyNumberFormat="1">
      <alignment shrinkToFit="1" vertical="center" wrapText="0"/>
    </xf>
    <xf borderId="0" fillId="0" fontId="4" numFmtId="0" xfId="0" applyAlignment="1" applyFont="1">
      <alignment vertical="top"/>
    </xf>
    <xf borderId="3" fillId="0" fontId="5" numFmtId="164" xfId="0" applyAlignment="1" applyBorder="1" applyFont="1" applyNumberFormat="1">
      <alignment shrinkToFit="1" vertical="center" wrapText="0"/>
    </xf>
    <xf borderId="0" fillId="0" fontId="3" numFmtId="164" xfId="0" applyFont="1" applyNumberFormat="1"/>
    <xf borderId="4" fillId="0" fontId="5" numFmtId="164" xfId="0" applyAlignment="1" applyBorder="1" applyFont="1" applyNumberFormat="1">
      <alignment shrinkToFit="1" vertical="center" wrapText="0"/>
    </xf>
    <xf borderId="1" fillId="3" fontId="4" numFmtId="0" xfId="0" applyAlignment="1" applyBorder="1" applyFont="1">
      <alignment vertical="top"/>
    </xf>
    <xf borderId="0" fillId="0" fontId="9" numFmtId="164" xfId="0" applyFont="1" applyNumberFormat="1"/>
    <xf borderId="0" fillId="0" fontId="5" numFmtId="165" xfId="0" applyFont="1" applyNumberFormat="1"/>
    <xf borderId="0" fillId="0" fontId="5" numFmtId="164" xfId="0" applyAlignment="1" applyFont="1" applyNumberFormat="1">
      <alignment shrinkToFit="1" vertical="top" wrapText="0"/>
    </xf>
    <xf borderId="0" fillId="0" fontId="4" numFmtId="0" xfId="0" applyFont="1"/>
    <xf borderId="0" fillId="0" fontId="10" numFmtId="0" xfId="0" applyFont="1"/>
    <xf borderId="0" fillId="0" fontId="11" numFmtId="0" xfId="0" applyFont="1"/>
    <xf borderId="1" fillId="2" fontId="2" numFmtId="0" xfId="0" applyBorder="1" applyFont="1"/>
    <xf borderId="1" fillId="2" fontId="2" numFmtId="0" xfId="0" applyAlignment="1" applyBorder="1" applyFont="1">
      <alignment horizontal="center" shrinkToFit="0" wrapText="1"/>
    </xf>
    <xf borderId="1" fillId="4" fontId="2" numFmtId="0" xfId="0" applyAlignment="1" applyBorder="1" applyFont="1">
      <alignment shrinkToFit="0" wrapText="1"/>
    </xf>
    <xf borderId="1" fillId="2" fontId="2" numFmtId="0" xfId="0" applyAlignment="1" applyBorder="1" applyFont="1">
      <alignment shrinkToFit="0" wrapText="1"/>
    </xf>
    <xf borderId="0" fillId="0" fontId="2" numFmtId="0" xfId="0" applyFont="1"/>
    <xf borderId="0" fillId="0" fontId="12" numFmtId="0" xfId="0" applyFont="1"/>
    <xf borderId="0" fillId="0" fontId="4" numFmtId="0" xfId="0" applyAlignment="1" applyFont="1">
      <alignment horizontal="left"/>
    </xf>
    <xf borderId="1" fillId="5" fontId="5" numFmtId="164" xfId="0" applyBorder="1" applyFill="1" applyFont="1" applyNumberFormat="1"/>
    <xf borderId="1" fillId="5" fontId="5" numFmtId="0" xfId="0" applyAlignment="1" applyBorder="1" applyFont="1">
      <alignment horizontal="left" shrinkToFit="0" wrapText="1"/>
    </xf>
    <xf borderId="1" fillId="5" fontId="5" numFmtId="0" xfId="0" applyBorder="1" applyFont="1"/>
    <xf borderId="0" fillId="0" fontId="13" numFmtId="0" xfId="0" applyAlignment="1" applyFont="1">
      <alignment horizontal="left"/>
    </xf>
    <xf borderId="5" fillId="0" fontId="4" numFmtId="0" xfId="0" applyAlignment="1" applyBorder="1" applyFont="1">
      <alignment horizontal="left"/>
    </xf>
    <xf borderId="5" fillId="0" fontId="5" numFmtId="164" xfId="0" applyBorder="1" applyFont="1" applyNumberFormat="1"/>
    <xf borderId="6" fillId="5" fontId="5" numFmtId="164" xfId="0" applyBorder="1" applyFont="1" applyNumberFormat="1"/>
    <xf borderId="6" fillId="5" fontId="5" numFmtId="0" xfId="0" applyBorder="1" applyFont="1"/>
    <xf borderId="2" fillId="5" fontId="5" numFmtId="164" xfId="0" applyBorder="1" applyFont="1" applyNumberFormat="1"/>
    <xf borderId="3" fillId="0" fontId="5" numFmtId="164" xfId="0" applyBorder="1" applyFont="1" applyNumberFormat="1"/>
    <xf borderId="0" fillId="0" fontId="11" numFmtId="164" xfId="0" applyFont="1" applyNumberFormat="1"/>
    <xf borderId="1" fillId="5" fontId="5" numFmtId="9" xfId="0" applyBorder="1" applyFont="1" applyNumberFormat="1"/>
    <xf borderId="1" fillId="5" fontId="5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/>
    </xf>
    <xf borderId="7" fillId="5" fontId="5" numFmtId="164" xfId="0" applyBorder="1" applyFont="1" applyNumberFormat="1"/>
    <xf borderId="1" fillId="5" fontId="10" numFmtId="0" xfId="0" applyBorder="1" applyFont="1"/>
    <xf borderId="4" fillId="0" fontId="5" numFmtId="164" xfId="0" applyBorder="1" applyFont="1" applyNumberFormat="1"/>
    <xf borderId="4" fillId="0" fontId="14" numFmtId="164" xfId="0" applyBorder="1" applyFont="1" applyNumberFormat="1"/>
    <xf borderId="7" fillId="5" fontId="13" numFmtId="164" xfId="0" applyBorder="1" applyFont="1" applyNumberFormat="1"/>
    <xf borderId="4" fillId="0" fontId="9" numFmtId="164" xfId="0" applyBorder="1" applyFont="1" applyNumberFormat="1"/>
    <xf borderId="7" fillId="5" fontId="4" numFmtId="164" xfId="0" applyBorder="1" applyFont="1" applyNumberFormat="1"/>
    <xf borderId="0" fillId="0" fontId="5" numFmtId="0" xfId="0" applyAlignment="1" applyFont="1">
      <alignment horizontal="left" vertical="top"/>
    </xf>
    <xf borderId="1" fillId="5" fontId="5" numFmtId="0" xfId="0" applyAlignment="1" applyBorder="1" applyFont="1">
      <alignment horizontal="left" vertical="top"/>
    </xf>
    <xf borderId="1" fillId="5" fontId="5" numFmtId="2" xfId="0" applyAlignment="1" applyBorder="1" applyFont="1" applyNumberFormat="1">
      <alignment horizontal="center" vertical="top"/>
    </xf>
    <xf borderId="1" fillId="5" fontId="15" numFmtId="2" xfId="0" applyAlignment="1" applyBorder="1" applyFont="1" applyNumberFormat="1">
      <alignment horizontal="right" vertical="top"/>
    </xf>
    <xf borderId="0" fillId="0" fontId="16" numFmtId="0" xfId="0" applyAlignment="1" applyFont="1">
      <alignment horizontal="left" vertical="top"/>
    </xf>
    <xf borderId="5" fillId="0" fontId="4" numFmtId="164" xfId="0" applyAlignment="1" applyBorder="1" applyFont="1" applyNumberFormat="1">
      <alignment horizontal="center" vertical="top"/>
    </xf>
    <xf borderId="5" fillId="0" fontId="5" numFmtId="166" xfId="0" applyAlignment="1" applyBorder="1" applyFont="1" applyNumberFormat="1">
      <alignment horizontal="center" vertical="top"/>
    </xf>
    <xf borderId="5" fillId="0" fontId="5" numFmtId="166" xfId="0" applyAlignment="1" applyBorder="1" applyFont="1" applyNumberFormat="1">
      <alignment horizontal="right" vertical="top"/>
    </xf>
    <xf borderId="0" fillId="0" fontId="5" numFmtId="166" xfId="0" applyAlignment="1" applyFont="1" applyNumberFormat="1">
      <alignment horizontal="center" vertical="top"/>
    </xf>
    <xf borderId="0" fillId="0" fontId="5" numFmtId="165" xfId="0" applyAlignment="1" applyFont="1" applyNumberFormat="1">
      <alignment horizontal="center" vertical="top"/>
    </xf>
    <xf borderId="0" fillId="0" fontId="5" numFmtId="166" xfId="0" applyAlignment="1" applyFont="1" applyNumberFormat="1">
      <alignment horizontal="right" vertical="top"/>
    </xf>
    <xf borderId="0" fillId="0" fontId="5" numFmtId="164" xfId="0" applyAlignment="1" applyFont="1" applyNumberFormat="1">
      <alignment horizontal="center" vertical="top"/>
    </xf>
    <xf borderId="1" fillId="5" fontId="4" numFmtId="0" xfId="0" applyAlignment="1" applyBorder="1" applyFont="1">
      <alignment horizontal="left" vertical="top"/>
    </xf>
    <xf borderId="1" fillId="5" fontId="4" numFmtId="164" xfId="0" applyAlignment="1" applyBorder="1" applyFont="1" applyNumberFormat="1">
      <alignment horizontal="center" vertical="top"/>
    </xf>
    <xf borderId="1" fillId="5" fontId="4" numFmtId="166" xfId="0" applyAlignment="1" applyBorder="1" applyFont="1" applyNumberFormat="1">
      <alignment horizontal="center" vertical="top"/>
    </xf>
    <xf borderId="1" fillId="5" fontId="4" numFmtId="166" xfId="0" applyAlignment="1" applyBorder="1" applyFont="1" applyNumberFormat="1">
      <alignment horizontal="right" vertical="top"/>
    </xf>
    <xf borderId="1" fillId="5" fontId="5" numFmtId="166" xfId="0" applyAlignment="1" applyBorder="1" applyFont="1" applyNumberFormat="1">
      <alignment horizontal="center" vertical="top"/>
    </xf>
    <xf borderId="0" fillId="0" fontId="6" numFmtId="0" xfId="0" applyAlignment="1" applyFont="1">
      <alignment horizontal="left" vertical="top"/>
    </xf>
    <xf borderId="0" fillId="0" fontId="6" numFmtId="164" xfId="0" applyAlignment="1" applyFont="1" applyNumberFormat="1">
      <alignment horizontal="center" vertical="top"/>
    </xf>
    <xf borderId="0" fillId="0" fontId="6" numFmtId="166" xfId="0" applyAlignment="1" applyFont="1" applyNumberFormat="1">
      <alignment horizontal="center" vertical="top"/>
    </xf>
    <xf borderId="0" fillId="0" fontId="6" numFmtId="0" xfId="0" applyFont="1"/>
    <xf borderId="1" fillId="5" fontId="6" numFmtId="0" xfId="0" applyAlignment="1" applyBorder="1" applyFont="1">
      <alignment horizontal="left" vertical="top"/>
    </xf>
    <xf borderId="1" fillId="5" fontId="6" numFmtId="2" xfId="0" applyAlignment="1" applyBorder="1" applyFont="1" applyNumberFormat="1">
      <alignment horizontal="center" vertical="top"/>
    </xf>
    <xf borderId="1" fillId="5" fontId="6" numFmtId="2" xfId="0" applyAlignment="1" applyBorder="1" applyFont="1" applyNumberFormat="1">
      <alignment horizontal="right" vertical="top"/>
    </xf>
    <xf borderId="0" fillId="0" fontId="17" numFmtId="0" xfId="0" applyAlignment="1" applyFont="1">
      <alignment horizontal="left" vertical="top"/>
    </xf>
    <xf borderId="5" fillId="0" fontId="18" numFmtId="164" xfId="0" applyAlignment="1" applyBorder="1" applyFont="1" applyNumberFormat="1">
      <alignment horizontal="center" vertical="top"/>
    </xf>
    <xf borderId="5" fillId="0" fontId="18" numFmtId="166" xfId="0" applyAlignment="1" applyBorder="1" applyFont="1" applyNumberFormat="1">
      <alignment horizontal="center" vertical="top"/>
    </xf>
    <xf borderId="5" fillId="0" fontId="6" numFmtId="166" xfId="0" applyAlignment="1" applyBorder="1" applyFont="1" applyNumberFormat="1">
      <alignment horizontal="right" vertical="top"/>
    </xf>
    <xf borderId="0" fillId="0" fontId="6" numFmtId="165" xfId="0" applyAlignment="1" applyFont="1" applyNumberFormat="1">
      <alignment horizontal="center" vertical="top"/>
    </xf>
    <xf borderId="0" fillId="0" fontId="6" numFmtId="166" xfId="0" applyAlignment="1" applyFont="1" applyNumberFormat="1">
      <alignment horizontal="right" vertical="top"/>
    </xf>
    <xf borderId="1" fillId="5" fontId="18" numFmtId="0" xfId="0" applyAlignment="1" applyBorder="1" applyFont="1">
      <alignment horizontal="left" vertical="top"/>
    </xf>
    <xf borderId="1" fillId="5" fontId="18" numFmtId="166" xfId="0" applyAlignment="1" applyBorder="1" applyFont="1" applyNumberFormat="1">
      <alignment horizontal="right" vertical="top"/>
    </xf>
    <xf borderId="1" fillId="5" fontId="18" numFmtId="166" xfId="0" applyAlignment="1" applyBorder="1" applyFont="1" applyNumberFormat="1">
      <alignment horizontal="center" vertical="top"/>
    </xf>
    <xf borderId="1" fillId="5" fontId="6" numFmtId="166" xfId="0" applyAlignment="1" applyBorder="1" applyFont="1" applyNumberFormat="1">
      <alignment horizontal="center" vertical="top"/>
    </xf>
    <xf borderId="1" fillId="5" fontId="6" numFmtId="164" xfId="0" applyAlignment="1" applyBorder="1" applyFont="1" applyNumberFormat="1">
      <alignment horizontal="center" vertical="top"/>
    </xf>
    <xf borderId="0" fillId="0" fontId="10" numFmtId="166" xfId="0" applyAlignment="1" applyFont="1" applyNumberFormat="1">
      <alignment horizontal="center" vertical="top"/>
    </xf>
    <xf borderId="0" fillId="0" fontId="18" numFmtId="0" xfId="0" applyAlignment="1" applyFont="1">
      <alignment horizontal="left"/>
    </xf>
    <xf borderId="0" fillId="0" fontId="19" numFmtId="0" xfId="0" applyFont="1"/>
    <xf borderId="0" fillId="0" fontId="20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left" vertical="center"/>
    </xf>
    <xf borderId="0" fillId="0" fontId="21" numFmtId="0" xfId="0" applyAlignment="1" applyFont="1">
      <alignment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5" numFmtId="0" xfId="0" applyAlignment="1" applyFont="1">
      <alignment shrinkToFit="0" wrapText="1"/>
    </xf>
    <xf borderId="0" fillId="0" fontId="8" numFmtId="0" xfId="0" applyAlignment="1" applyFont="1">
      <alignment vertical="center"/>
    </xf>
    <xf borderId="0" fillId="0" fontId="20" numFmtId="0" xfId="0" applyAlignment="1" applyFont="1">
      <alignment shrinkToFit="0" vertical="center" wrapText="1"/>
    </xf>
    <xf borderId="0" fillId="0" fontId="6" numFmtId="9" xfId="0" applyFont="1" applyNumberFormat="1"/>
    <xf borderId="0" fillId="0" fontId="19" numFmtId="0" xfId="0" applyAlignment="1" applyFont="1">
      <alignment vertical="center"/>
    </xf>
    <xf borderId="0" fillId="0" fontId="18" numFmtId="0" xfId="0" applyFont="1"/>
    <xf borderId="0" fillId="0" fontId="6" numFmtId="167" xfId="0" applyFont="1" applyNumberFormat="1"/>
    <xf borderId="3" fillId="0" fontId="6" numFmtId="164" xfId="0" applyBorder="1" applyFont="1" applyNumberFormat="1"/>
    <xf borderId="2" fillId="6" fontId="6" numFmtId="164" xfId="0" applyBorder="1" applyFill="1" applyFont="1" applyNumberFormat="1"/>
    <xf borderId="1" fillId="6" fontId="6" numFmtId="164" xfId="0" applyBorder="1" applyFont="1" applyNumberFormat="1"/>
    <xf borderId="5" fillId="0" fontId="22" numFmtId="0" xfId="0" applyAlignment="1" applyBorder="1" applyFont="1">
      <alignment horizontal="left" shrinkToFit="0" vertical="center" wrapText="1"/>
    </xf>
    <xf borderId="5" fillId="0" fontId="22" numFmtId="0" xfId="0" applyAlignment="1" applyBorder="1" applyFont="1">
      <alignment horizontal="center" shrinkToFit="0" vertical="center" wrapText="1"/>
    </xf>
    <xf borderId="5" fillId="0" fontId="22" numFmtId="0" xfId="0" applyAlignment="1" applyBorder="1" applyFont="1">
      <alignment horizontal="center"/>
    </xf>
    <xf borderId="0" fillId="0" fontId="8" numFmtId="0" xfId="0" applyAlignment="1" applyFont="1">
      <alignment shrinkToFit="0" vertical="center" wrapText="1"/>
    </xf>
    <xf borderId="0" fillId="0" fontId="8" numFmtId="166" xfId="0" applyAlignment="1" applyFont="1" applyNumberFormat="1">
      <alignment shrinkToFit="0" vertical="center" wrapText="1"/>
    </xf>
    <xf borderId="0" fillId="0" fontId="8" numFmtId="166" xfId="0" applyFont="1" applyNumberFormat="1"/>
    <xf borderId="0" fillId="0" fontId="8" numFmtId="164" xfId="0" applyAlignment="1" applyFont="1" applyNumberFormat="1">
      <alignment shrinkToFit="0" vertical="center" wrapText="1"/>
    </xf>
    <xf borderId="0" fillId="0" fontId="8" numFmtId="164" xfId="0" applyFont="1" applyNumberFormat="1"/>
    <xf borderId="5" fillId="0" fontId="8" numFmtId="0" xfId="0" applyAlignment="1" applyBorder="1" applyFont="1">
      <alignment shrinkToFit="0" vertical="center" wrapText="1"/>
    </xf>
    <xf borderId="5" fillId="0" fontId="8" numFmtId="166" xfId="0" applyAlignment="1" applyBorder="1" applyFont="1" applyNumberFormat="1">
      <alignment shrinkToFit="0" vertical="center" wrapText="1"/>
    </xf>
    <xf borderId="5" fillId="0" fontId="8" numFmtId="166" xfId="0" applyBorder="1" applyFont="1" applyNumberFormat="1"/>
    <xf borderId="0" fillId="0" fontId="22" numFmtId="0" xfId="0" applyAlignment="1" applyFont="1">
      <alignment shrinkToFit="0" vertical="center" wrapText="1"/>
    </xf>
    <xf borderId="0" fillId="0" fontId="22" numFmtId="166" xfId="0" applyAlignment="1" applyFont="1" applyNumberFormat="1">
      <alignment shrinkToFit="0" vertical="center" wrapText="1"/>
    </xf>
    <xf borderId="0" fillId="0" fontId="2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5943600" cy="38100"/>
    <xdr:sp>
      <xdr:nvSpPr>
        <xdr:cNvPr id="3" name="Shape 3"/>
        <xdr:cNvSpPr/>
      </xdr:nvSpPr>
      <xdr:spPr>
        <a:xfrm>
          <a:off x="2374200" y="3769205"/>
          <a:ext cx="5943600" cy="21590"/>
        </a:xfrm>
        <a:custGeom>
          <a:rect b="b" l="l" r="r" t="t"/>
          <a:pathLst>
            <a:path extrusionOk="0" h="21590" w="5943600">
              <a:moveTo>
                <a:pt x="0" y="0"/>
              </a:moveTo>
              <a:lnTo>
                <a:pt x="5943600" y="0"/>
              </a:lnTo>
            </a:path>
            <a:path extrusionOk="0" h="21590" w="5943600">
              <a:moveTo>
                <a:pt x="0" y="3048"/>
              </a:moveTo>
              <a:lnTo>
                <a:pt x="5943600" y="3048"/>
              </a:lnTo>
            </a:path>
            <a:path extrusionOk="0" h="21590" w="5943600">
              <a:moveTo>
                <a:pt x="0" y="6096"/>
              </a:moveTo>
              <a:lnTo>
                <a:pt x="5943600" y="6096"/>
              </a:lnTo>
            </a:path>
            <a:path extrusionOk="0" h="21590" w="5943600">
              <a:moveTo>
                <a:pt x="0" y="9144"/>
              </a:moveTo>
              <a:lnTo>
                <a:pt x="5943600" y="9144"/>
              </a:lnTo>
            </a:path>
            <a:path extrusionOk="0" h="21590" w="5943600">
              <a:moveTo>
                <a:pt x="0" y="12192"/>
              </a:moveTo>
              <a:lnTo>
                <a:pt x="5943600" y="12192"/>
              </a:lnTo>
            </a:path>
            <a:path extrusionOk="0" h="21590" w="5943600">
              <a:moveTo>
                <a:pt x="0" y="15240"/>
              </a:moveTo>
              <a:lnTo>
                <a:pt x="5943600" y="15240"/>
              </a:lnTo>
            </a:path>
            <a:path extrusionOk="0" h="21590" w="5943600">
              <a:moveTo>
                <a:pt x="0" y="18288"/>
              </a:moveTo>
              <a:lnTo>
                <a:pt x="5943600" y="18288"/>
              </a:lnTo>
            </a:path>
            <a:path extrusionOk="0" h="21590" w="5943600">
              <a:moveTo>
                <a:pt x="0" y="21336"/>
              </a:moveTo>
              <a:lnTo>
                <a:pt x="5943600" y="21336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4</xdr:col>
      <xdr:colOff>0</xdr:colOff>
      <xdr:row>0</xdr:row>
      <xdr:rowOff>-9525</xdr:rowOff>
    </xdr:from>
    <xdr:ext cx="5943600" cy="38100"/>
    <xdr:sp>
      <xdr:nvSpPr>
        <xdr:cNvPr id="4" name="Shape 4"/>
        <xdr:cNvSpPr/>
      </xdr:nvSpPr>
      <xdr:spPr>
        <a:xfrm>
          <a:off x="2374200" y="3775238"/>
          <a:ext cx="5943600" cy="9525"/>
        </a:xfrm>
        <a:custGeom>
          <a:rect b="b" l="l" r="r" t="t"/>
          <a:pathLst>
            <a:path extrusionOk="0" h="9525" w="5943600">
              <a:moveTo>
                <a:pt x="0" y="0"/>
              </a:moveTo>
              <a:lnTo>
                <a:pt x="5943600" y="0"/>
              </a:lnTo>
            </a:path>
            <a:path extrusionOk="0" h="9525" w="5943600">
              <a:moveTo>
                <a:pt x="0" y="3048"/>
              </a:moveTo>
              <a:lnTo>
                <a:pt x="5943600" y="3048"/>
              </a:lnTo>
            </a:path>
            <a:path extrusionOk="0" h="9525" w="5943600">
              <a:moveTo>
                <a:pt x="0" y="6096"/>
              </a:moveTo>
              <a:lnTo>
                <a:pt x="5943600" y="6096"/>
              </a:lnTo>
            </a:path>
            <a:path extrusionOk="0" h="9525" w="5943600">
              <a:moveTo>
                <a:pt x="0" y="9144"/>
              </a:moveTo>
              <a:lnTo>
                <a:pt x="5943600" y="9144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4</xdr:col>
      <xdr:colOff>0</xdr:colOff>
      <xdr:row>0</xdr:row>
      <xdr:rowOff>-9525</xdr:rowOff>
    </xdr:from>
    <xdr:ext cx="1828800" cy="38100"/>
    <xdr:sp>
      <xdr:nvSpPr>
        <xdr:cNvPr id="5" name="Shape 5"/>
        <xdr:cNvSpPr/>
      </xdr:nvSpPr>
      <xdr:spPr>
        <a:xfrm>
          <a:off x="4431600" y="3778413"/>
          <a:ext cx="1828800" cy="3175"/>
        </a:xfrm>
        <a:custGeom>
          <a:rect b="b" l="l" r="r" t="t"/>
          <a:pathLst>
            <a:path extrusionOk="0" h="3175" w="1828800">
              <a:moveTo>
                <a:pt x="0" y="0"/>
              </a:moveTo>
              <a:lnTo>
                <a:pt x="1828800" y="0"/>
              </a:lnTo>
            </a:path>
            <a:path extrusionOk="0" h="3175" w="1828800">
              <a:moveTo>
                <a:pt x="0" y="3047"/>
              </a:moveTo>
              <a:lnTo>
                <a:pt x="1828800" y="3047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76</xdr:row>
      <xdr:rowOff>0</xdr:rowOff>
    </xdr:from>
    <xdr:ext cx="3657600" cy="38100"/>
    <xdr:sp>
      <xdr:nvSpPr>
        <xdr:cNvPr id="6" name="Shape 6"/>
        <xdr:cNvSpPr/>
      </xdr:nvSpPr>
      <xdr:spPr>
        <a:xfrm>
          <a:off x="3517200" y="3769205"/>
          <a:ext cx="3657600" cy="21590"/>
        </a:xfrm>
        <a:custGeom>
          <a:rect b="b" l="l" r="r" t="t"/>
          <a:pathLst>
            <a:path extrusionOk="0" h="21590" w="3657600">
              <a:moveTo>
                <a:pt x="0" y="0"/>
              </a:moveTo>
              <a:lnTo>
                <a:pt x="914400" y="0"/>
              </a:lnTo>
            </a:path>
            <a:path extrusionOk="0" h="21590" w="3657600">
              <a:moveTo>
                <a:pt x="0" y="3048"/>
              </a:moveTo>
              <a:lnTo>
                <a:pt x="914400" y="3048"/>
              </a:lnTo>
            </a:path>
            <a:path extrusionOk="0" h="21590" w="3657600">
              <a:moveTo>
                <a:pt x="0" y="6096"/>
              </a:moveTo>
              <a:lnTo>
                <a:pt x="914400" y="6096"/>
              </a:lnTo>
            </a:path>
            <a:path extrusionOk="0" h="21590" w="3657600">
              <a:moveTo>
                <a:pt x="0" y="9144"/>
              </a:moveTo>
              <a:lnTo>
                <a:pt x="914400" y="9144"/>
              </a:lnTo>
            </a:path>
            <a:path extrusionOk="0" h="21590" w="3657600">
              <a:moveTo>
                <a:pt x="0" y="12192"/>
              </a:moveTo>
              <a:lnTo>
                <a:pt x="914400" y="12192"/>
              </a:lnTo>
            </a:path>
            <a:path extrusionOk="0" h="21590" w="3657600">
              <a:moveTo>
                <a:pt x="0" y="15240"/>
              </a:moveTo>
              <a:lnTo>
                <a:pt x="914400" y="15240"/>
              </a:lnTo>
            </a:path>
            <a:path extrusionOk="0" h="21590" w="3657600">
              <a:moveTo>
                <a:pt x="0" y="18288"/>
              </a:moveTo>
              <a:lnTo>
                <a:pt x="914400" y="18288"/>
              </a:lnTo>
            </a:path>
            <a:path extrusionOk="0" h="21590" w="3657600">
              <a:moveTo>
                <a:pt x="0" y="21336"/>
              </a:moveTo>
              <a:lnTo>
                <a:pt x="914400" y="21336"/>
              </a:lnTo>
            </a:path>
            <a:path extrusionOk="0" h="21590" w="3657600">
              <a:moveTo>
                <a:pt x="914400" y="0"/>
              </a:moveTo>
              <a:lnTo>
                <a:pt x="1828800" y="0"/>
              </a:lnTo>
            </a:path>
            <a:path extrusionOk="0" h="21590" w="3657600">
              <a:moveTo>
                <a:pt x="914400" y="3048"/>
              </a:moveTo>
              <a:lnTo>
                <a:pt x="1828800" y="3048"/>
              </a:lnTo>
            </a:path>
            <a:path extrusionOk="0" h="21590" w="3657600">
              <a:moveTo>
                <a:pt x="914400" y="6096"/>
              </a:moveTo>
              <a:lnTo>
                <a:pt x="1828800" y="6096"/>
              </a:lnTo>
            </a:path>
            <a:path extrusionOk="0" h="21590" w="3657600">
              <a:moveTo>
                <a:pt x="914400" y="9144"/>
              </a:moveTo>
              <a:lnTo>
                <a:pt x="1828800" y="9144"/>
              </a:lnTo>
            </a:path>
            <a:path extrusionOk="0" h="21590" w="3657600">
              <a:moveTo>
                <a:pt x="914400" y="12192"/>
              </a:moveTo>
              <a:lnTo>
                <a:pt x="1828800" y="12192"/>
              </a:lnTo>
            </a:path>
            <a:path extrusionOk="0" h="21590" w="3657600">
              <a:moveTo>
                <a:pt x="914400" y="15240"/>
              </a:moveTo>
              <a:lnTo>
                <a:pt x="1828800" y="15240"/>
              </a:lnTo>
            </a:path>
            <a:path extrusionOk="0" h="21590" w="3657600">
              <a:moveTo>
                <a:pt x="914400" y="18288"/>
              </a:moveTo>
              <a:lnTo>
                <a:pt x="1828800" y="18288"/>
              </a:lnTo>
            </a:path>
            <a:path extrusionOk="0" h="21590" w="3657600">
              <a:moveTo>
                <a:pt x="914400" y="21336"/>
              </a:moveTo>
              <a:lnTo>
                <a:pt x="1828800" y="21336"/>
              </a:lnTo>
            </a:path>
            <a:path extrusionOk="0" h="21590" w="3657600">
              <a:moveTo>
                <a:pt x="1828800" y="0"/>
              </a:moveTo>
              <a:lnTo>
                <a:pt x="2651760" y="0"/>
              </a:lnTo>
            </a:path>
            <a:path extrusionOk="0" h="21590" w="3657600">
              <a:moveTo>
                <a:pt x="1828800" y="3048"/>
              </a:moveTo>
              <a:lnTo>
                <a:pt x="2651760" y="3048"/>
              </a:lnTo>
            </a:path>
            <a:path extrusionOk="0" h="21590" w="3657600">
              <a:moveTo>
                <a:pt x="1828800" y="6096"/>
              </a:moveTo>
              <a:lnTo>
                <a:pt x="2651760" y="6096"/>
              </a:lnTo>
            </a:path>
            <a:path extrusionOk="0" h="21590" w="3657600">
              <a:moveTo>
                <a:pt x="1828800" y="9144"/>
              </a:moveTo>
              <a:lnTo>
                <a:pt x="2651760" y="9144"/>
              </a:lnTo>
            </a:path>
            <a:path extrusionOk="0" h="21590" w="3657600">
              <a:moveTo>
                <a:pt x="1828800" y="12192"/>
              </a:moveTo>
              <a:lnTo>
                <a:pt x="2651760" y="12192"/>
              </a:lnTo>
            </a:path>
            <a:path extrusionOk="0" h="21590" w="3657600">
              <a:moveTo>
                <a:pt x="1828800" y="15240"/>
              </a:moveTo>
              <a:lnTo>
                <a:pt x="2651760" y="15240"/>
              </a:lnTo>
            </a:path>
            <a:path extrusionOk="0" h="21590" w="3657600">
              <a:moveTo>
                <a:pt x="1828800" y="18288"/>
              </a:moveTo>
              <a:lnTo>
                <a:pt x="2651760" y="18288"/>
              </a:lnTo>
            </a:path>
            <a:path extrusionOk="0" h="21590" w="3657600">
              <a:moveTo>
                <a:pt x="1828800" y="21336"/>
              </a:moveTo>
              <a:lnTo>
                <a:pt x="2651760" y="21336"/>
              </a:lnTo>
            </a:path>
            <a:path extrusionOk="0" h="21590" w="3657600">
              <a:moveTo>
                <a:pt x="2651760" y="0"/>
              </a:moveTo>
              <a:lnTo>
                <a:pt x="3657600" y="0"/>
              </a:lnTo>
            </a:path>
            <a:path extrusionOk="0" h="21590" w="3657600">
              <a:moveTo>
                <a:pt x="2651760" y="3048"/>
              </a:moveTo>
              <a:lnTo>
                <a:pt x="3657600" y="3048"/>
              </a:lnTo>
            </a:path>
            <a:path extrusionOk="0" h="21590" w="3657600">
              <a:moveTo>
                <a:pt x="2651760" y="6096"/>
              </a:moveTo>
              <a:lnTo>
                <a:pt x="3657600" y="6096"/>
              </a:lnTo>
            </a:path>
            <a:path extrusionOk="0" h="21590" w="3657600">
              <a:moveTo>
                <a:pt x="2651760" y="9144"/>
              </a:moveTo>
              <a:lnTo>
                <a:pt x="3657600" y="9144"/>
              </a:lnTo>
            </a:path>
            <a:path extrusionOk="0" h="21590" w="3657600">
              <a:moveTo>
                <a:pt x="2651760" y="12192"/>
              </a:moveTo>
              <a:lnTo>
                <a:pt x="3657600" y="12192"/>
              </a:lnTo>
            </a:path>
            <a:path extrusionOk="0" h="21590" w="3657600">
              <a:moveTo>
                <a:pt x="2651760" y="15240"/>
              </a:moveTo>
              <a:lnTo>
                <a:pt x="3657600" y="15240"/>
              </a:lnTo>
            </a:path>
            <a:path extrusionOk="0" h="21590" w="3657600">
              <a:moveTo>
                <a:pt x="2651760" y="18288"/>
              </a:moveTo>
              <a:lnTo>
                <a:pt x="3657600" y="18288"/>
              </a:lnTo>
            </a:path>
            <a:path extrusionOk="0" h="21590" w="3657600">
              <a:moveTo>
                <a:pt x="2651760" y="21336"/>
              </a:moveTo>
              <a:lnTo>
                <a:pt x="3657600" y="21336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0</xdr:col>
      <xdr:colOff>19050</xdr:colOff>
      <xdr:row>76</xdr:row>
      <xdr:rowOff>-9525</xdr:rowOff>
    </xdr:from>
    <xdr:ext cx="1828800" cy="38100"/>
    <xdr:sp>
      <xdr:nvSpPr>
        <xdr:cNvPr id="7" name="Shape 7"/>
        <xdr:cNvSpPr/>
      </xdr:nvSpPr>
      <xdr:spPr>
        <a:xfrm>
          <a:off x="4431600" y="3778413"/>
          <a:ext cx="1828800" cy="3175"/>
        </a:xfrm>
        <a:custGeom>
          <a:rect b="b" l="l" r="r" t="t"/>
          <a:pathLst>
            <a:path extrusionOk="0" h="3175" w="1828800">
              <a:moveTo>
                <a:pt x="0" y="0"/>
              </a:moveTo>
              <a:lnTo>
                <a:pt x="1828800" y="0"/>
              </a:lnTo>
            </a:path>
            <a:path extrusionOk="0" h="3175" w="1828800">
              <a:moveTo>
                <a:pt x="0" y="3048"/>
              </a:moveTo>
              <a:lnTo>
                <a:pt x="1828800" y="3048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0</xdr:col>
      <xdr:colOff>19050</xdr:colOff>
      <xdr:row>76</xdr:row>
      <xdr:rowOff>-9525</xdr:rowOff>
    </xdr:from>
    <xdr:ext cx="1828800" cy="38100"/>
    <xdr:sp>
      <xdr:nvSpPr>
        <xdr:cNvPr id="7" name="Shape 7"/>
        <xdr:cNvSpPr/>
      </xdr:nvSpPr>
      <xdr:spPr>
        <a:xfrm>
          <a:off x="4431600" y="3778413"/>
          <a:ext cx="1828800" cy="3175"/>
        </a:xfrm>
        <a:custGeom>
          <a:rect b="b" l="l" r="r" t="t"/>
          <a:pathLst>
            <a:path extrusionOk="0" h="3175" w="1828800">
              <a:moveTo>
                <a:pt x="0" y="0"/>
              </a:moveTo>
              <a:lnTo>
                <a:pt x="1828800" y="0"/>
              </a:lnTo>
            </a:path>
            <a:path extrusionOk="0" h="3175" w="1828800">
              <a:moveTo>
                <a:pt x="0" y="3048"/>
              </a:moveTo>
              <a:lnTo>
                <a:pt x="1828800" y="3048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0</xdr:col>
      <xdr:colOff>38100</xdr:colOff>
      <xdr:row>76</xdr:row>
      <xdr:rowOff>0</xdr:rowOff>
    </xdr:from>
    <xdr:ext cx="1828800" cy="38100"/>
    <xdr:sp>
      <xdr:nvSpPr>
        <xdr:cNvPr id="8" name="Shape 8"/>
        <xdr:cNvSpPr/>
      </xdr:nvSpPr>
      <xdr:spPr>
        <a:xfrm>
          <a:off x="4431600" y="3769205"/>
          <a:ext cx="1828800" cy="21590"/>
        </a:xfrm>
        <a:custGeom>
          <a:rect b="b" l="l" r="r" t="t"/>
          <a:pathLst>
            <a:path extrusionOk="0" h="21590" w="1828800">
              <a:moveTo>
                <a:pt x="0" y="0"/>
              </a:moveTo>
              <a:lnTo>
                <a:pt x="1828800" y="0"/>
              </a:lnTo>
            </a:path>
            <a:path extrusionOk="0" h="21590" w="1828800">
              <a:moveTo>
                <a:pt x="0" y="3048"/>
              </a:moveTo>
              <a:lnTo>
                <a:pt x="1828800" y="3048"/>
              </a:lnTo>
            </a:path>
            <a:path extrusionOk="0" h="21590" w="1828800">
              <a:moveTo>
                <a:pt x="0" y="6096"/>
              </a:moveTo>
              <a:lnTo>
                <a:pt x="1828800" y="6096"/>
              </a:lnTo>
            </a:path>
            <a:path extrusionOk="0" h="21590" w="1828800">
              <a:moveTo>
                <a:pt x="0" y="9144"/>
              </a:moveTo>
              <a:lnTo>
                <a:pt x="1828800" y="9144"/>
              </a:lnTo>
            </a:path>
            <a:path extrusionOk="0" h="21590" w="1828800">
              <a:moveTo>
                <a:pt x="0" y="12192"/>
              </a:moveTo>
              <a:lnTo>
                <a:pt x="1828800" y="12192"/>
              </a:lnTo>
            </a:path>
            <a:path extrusionOk="0" h="21590" w="1828800">
              <a:moveTo>
                <a:pt x="0" y="15240"/>
              </a:moveTo>
              <a:lnTo>
                <a:pt x="1828800" y="15240"/>
              </a:lnTo>
            </a:path>
            <a:path extrusionOk="0" h="21590" w="1828800">
              <a:moveTo>
                <a:pt x="0" y="18288"/>
              </a:moveTo>
              <a:lnTo>
                <a:pt x="1828800" y="18288"/>
              </a:lnTo>
            </a:path>
            <a:path extrusionOk="0" h="21590" w="1828800">
              <a:moveTo>
                <a:pt x="0" y="21336"/>
              </a:moveTo>
              <a:lnTo>
                <a:pt x="1828800" y="21336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0</xdr:col>
      <xdr:colOff>38100</xdr:colOff>
      <xdr:row>76</xdr:row>
      <xdr:rowOff>-9525</xdr:rowOff>
    </xdr:from>
    <xdr:ext cx="1828800" cy="38100"/>
    <xdr:sp>
      <xdr:nvSpPr>
        <xdr:cNvPr id="7" name="Shape 7"/>
        <xdr:cNvSpPr/>
      </xdr:nvSpPr>
      <xdr:spPr>
        <a:xfrm>
          <a:off x="4431600" y="3778413"/>
          <a:ext cx="1828800" cy="3175"/>
        </a:xfrm>
        <a:custGeom>
          <a:rect b="b" l="l" r="r" t="t"/>
          <a:pathLst>
            <a:path extrusionOk="0" h="3175" w="1828800">
              <a:moveTo>
                <a:pt x="0" y="0"/>
              </a:moveTo>
              <a:lnTo>
                <a:pt x="1828800" y="0"/>
              </a:lnTo>
            </a:path>
            <a:path extrusionOk="0" h="3175" w="1828800">
              <a:moveTo>
                <a:pt x="0" y="3048"/>
              </a:moveTo>
              <a:lnTo>
                <a:pt x="1828800" y="3048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1</xdr:col>
      <xdr:colOff>323850</xdr:colOff>
      <xdr:row>76</xdr:row>
      <xdr:rowOff>0</xdr:rowOff>
    </xdr:from>
    <xdr:ext cx="1828800" cy="38100"/>
    <xdr:sp>
      <xdr:nvSpPr>
        <xdr:cNvPr id="8" name="Shape 8"/>
        <xdr:cNvSpPr/>
      </xdr:nvSpPr>
      <xdr:spPr>
        <a:xfrm>
          <a:off x="4431600" y="3769205"/>
          <a:ext cx="1828800" cy="21590"/>
        </a:xfrm>
        <a:custGeom>
          <a:rect b="b" l="l" r="r" t="t"/>
          <a:pathLst>
            <a:path extrusionOk="0" h="21590" w="1828800">
              <a:moveTo>
                <a:pt x="0" y="0"/>
              </a:moveTo>
              <a:lnTo>
                <a:pt x="1828800" y="0"/>
              </a:lnTo>
            </a:path>
            <a:path extrusionOk="0" h="21590" w="1828800">
              <a:moveTo>
                <a:pt x="0" y="3048"/>
              </a:moveTo>
              <a:lnTo>
                <a:pt x="1828800" y="3048"/>
              </a:lnTo>
            </a:path>
            <a:path extrusionOk="0" h="21590" w="1828800">
              <a:moveTo>
                <a:pt x="0" y="6096"/>
              </a:moveTo>
              <a:lnTo>
                <a:pt x="1828800" y="6096"/>
              </a:lnTo>
            </a:path>
            <a:path extrusionOk="0" h="21590" w="1828800">
              <a:moveTo>
                <a:pt x="0" y="9144"/>
              </a:moveTo>
              <a:lnTo>
                <a:pt x="1828800" y="9144"/>
              </a:lnTo>
            </a:path>
            <a:path extrusionOk="0" h="21590" w="1828800">
              <a:moveTo>
                <a:pt x="0" y="12192"/>
              </a:moveTo>
              <a:lnTo>
                <a:pt x="1828800" y="12192"/>
              </a:lnTo>
            </a:path>
            <a:path extrusionOk="0" h="21590" w="1828800">
              <a:moveTo>
                <a:pt x="0" y="15240"/>
              </a:moveTo>
              <a:lnTo>
                <a:pt x="1828800" y="15240"/>
              </a:lnTo>
            </a:path>
            <a:path extrusionOk="0" h="21590" w="1828800">
              <a:moveTo>
                <a:pt x="0" y="18288"/>
              </a:moveTo>
              <a:lnTo>
                <a:pt x="1828800" y="18288"/>
              </a:lnTo>
            </a:path>
            <a:path extrusionOk="0" h="21590" w="1828800">
              <a:moveTo>
                <a:pt x="0" y="21336"/>
              </a:moveTo>
              <a:lnTo>
                <a:pt x="1828800" y="21336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0</xdr:col>
      <xdr:colOff>590550</xdr:colOff>
      <xdr:row>76</xdr:row>
      <xdr:rowOff>0</xdr:rowOff>
    </xdr:from>
    <xdr:ext cx="5943600" cy="38100"/>
    <xdr:sp>
      <xdr:nvSpPr>
        <xdr:cNvPr id="9" name="Shape 9"/>
        <xdr:cNvSpPr/>
      </xdr:nvSpPr>
      <xdr:spPr>
        <a:xfrm>
          <a:off x="2374200" y="3769205"/>
          <a:ext cx="5943600" cy="21590"/>
        </a:xfrm>
        <a:custGeom>
          <a:rect b="b" l="l" r="r" t="t"/>
          <a:pathLst>
            <a:path extrusionOk="0" h="21590" w="5943600">
              <a:moveTo>
                <a:pt x="0" y="0"/>
              </a:moveTo>
              <a:lnTo>
                <a:pt x="5943600" y="0"/>
              </a:lnTo>
            </a:path>
            <a:path extrusionOk="0" h="21590" w="5943600">
              <a:moveTo>
                <a:pt x="0" y="3047"/>
              </a:moveTo>
              <a:lnTo>
                <a:pt x="5943600" y="3047"/>
              </a:lnTo>
            </a:path>
            <a:path extrusionOk="0" h="21590" w="5943600">
              <a:moveTo>
                <a:pt x="0" y="6095"/>
              </a:moveTo>
              <a:lnTo>
                <a:pt x="5943600" y="6095"/>
              </a:lnTo>
            </a:path>
            <a:path extrusionOk="0" h="21590" w="5943600">
              <a:moveTo>
                <a:pt x="0" y="9143"/>
              </a:moveTo>
              <a:lnTo>
                <a:pt x="5943600" y="9143"/>
              </a:lnTo>
            </a:path>
            <a:path extrusionOk="0" h="21590" w="5943600">
              <a:moveTo>
                <a:pt x="0" y="12191"/>
              </a:moveTo>
              <a:lnTo>
                <a:pt x="5943600" y="12191"/>
              </a:lnTo>
            </a:path>
            <a:path extrusionOk="0" h="21590" w="5943600">
              <a:moveTo>
                <a:pt x="0" y="15239"/>
              </a:moveTo>
              <a:lnTo>
                <a:pt x="5943600" y="15239"/>
              </a:lnTo>
            </a:path>
            <a:path extrusionOk="0" h="21590" w="5943600">
              <a:moveTo>
                <a:pt x="0" y="18287"/>
              </a:moveTo>
              <a:lnTo>
                <a:pt x="5943600" y="18287"/>
              </a:lnTo>
            </a:path>
            <a:path extrusionOk="0" h="21590" w="5943600">
              <a:moveTo>
                <a:pt x="0" y="21335"/>
              </a:moveTo>
              <a:lnTo>
                <a:pt x="5943600" y="21335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44"/>
    <col customWidth="1" min="2" max="2" width="16.56"/>
    <col customWidth="1" min="3" max="3" width="17.0"/>
    <col customWidth="1" min="4" max="4" width="15.67"/>
    <col customWidth="1" min="5" max="5" width="10.22"/>
    <col customWidth="1" min="6" max="6" width="11.22"/>
    <col customWidth="1" min="7" max="7" width="10.22"/>
    <col customWidth="1" min="8" max="8" width="12.56"/>
    <col customWidth="1" min="9" max="26" width="9.0"/>
  </cols>
  <sheetData>
    <row r="1" ht="12.75" customHeight="1">
      <c r="A1" s="1" t="s">
        <v>0</v>
      </c>
      <c r="B1" s="2">
        <v>2025.0</v>
      </c>
      <c r="C1" s="2">
        <v>2024.0</v>
      </c>
      <c r="D1" s="3" t="s">
        <v>1</v>
      </c>
      <c r="E1" s="4" t="s">
        <v>2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3</v>
      </c>
      <c r="B2" s="7">
        <v>981009.84</v>
      </c>
      <c r="C2" s="7">
        <v>1042552.55</v>
      </c>
      <c r="D2" s="8"/>
      <c r="E2" s="9">
        <v>2.0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/>
      <c r="B3" s="11">
        <v>0.0</v>
      </c>
      <c r="C3" s="12"/>
      <c r="D3" s="13"/>
      <c r="E3" s="14">
        <v>3.0</v>
      </c>
      <c r="F3" s="13"/>
      <c r="G3" s="12"/>
      <c r="H3" s="13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0"/>
      <c r="B4" s="11">
        <v>0.0</v>
      </c>
      <c r="C4" s="15">
        <v>0.0</v>
      </c>
      <c r="D4" s="13"/>
      <c r="E4" s="9">
        <v>4.0</v>
      </c>
      <c r="F4" s="13"/>
      <c r="G4" s="12"/>
      <c r="H4" s="1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6" t="s">
        <v>4</v>
      </c>
      <c r="B5" s="7">
        <v>619177.45</v>
      </c>
      <c r="C5" s="7">
        <v>687544.96</v>
      </c>
      <c r="D5" s="17"/>
      <c r="E5" s="14">
        <v>5.0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 t="s">
        <v>5</v>
      </c>
      <c r="B6" s="19">
        <f t="shared" ref="B6:C6" si="1">B2+B3+B4 - B5</f>
        <v>361832.39</v>
      </c>
      <c r="C6" s="19">
        <f t="shared" si="1"/>
        <v>355007.59</v>
      </c>
      <c r="D6" s="17"/>
      <c r="E6" s="9">
        <v>6.0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6"/>
      <c r="B7" s="7"/>
      <c r="C7" s="7"/>
      <c r="D7" s="17"/>
      <c r="E7" s="14">
        <v>7.0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20" t="s">
        <v>6</v>
      </c>
      <c r="B8" s="21"/>
      <c r="C8" s="21"/>
      <c r="D8" s="17"/>
      <c r="E8" s="9">
        <v>8.0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20" t="s">
        <v>7</v>
      </c>
      <c r="B9" s="21">
        <v>118120.38</v>
      </c>
      <c r="C9" s="21">
        <v>156517.41</v>
      </c>
      <c r="D9" s="17"/>
      <c r="E9" s="9">
        <v>9.0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6" t="s">
        <v>8</v>
      </c>
      <c r="B10" s="7">
        <v>12062.88</v>
      </c>
      <c r="C10" s="7">
        <v>14023.25</v>
      </c>
      <c r="D10" s="17"/>
      <c r="E10" s="14">
        <v>10.0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22" t="s">
        <v>9</v>
      </c>
      <c r="B11" s="7">
        <v>25024.32</v>
      </c>
      <c r="C11" s="7">
        <v>25603.08</v>
      </c>
      <c r="D11" s="16"/>
      <c r="E11" s="9">
        <v>11.0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22" t="s">
        <v>10</v>
      </c>
      <c r="B12" s="7">
        <v>6407.38</v>
      </c>
      <c r="C12" s="7">
        <v>5942.29</v>
      </c>
      <c r="D12" s="17"/>
      <c r="E12" s="14">
        <v>12.0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2" t="s">
        <v>11</v>
      </c>
      <c r="B13" s="7">
        <v>1740.62</v>
      </c>
      <c r="C13" s="23">
        <v>1710.69</v>
      </c>
      <c r="D13" s="16"/>
      <c r="E13" s="9">
        <v>13.0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22" t="s">
        <v>12</v>
      </c>
      <c r="B14" s="7">
        <v>6960.0</v>
      </c>
      <c r="C14" s="7">
        <v>6900.0</v>
      </c>
      <c r="D14" s="16"/>
      <c r="E14" s="14">
        <v>14.0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2" t="s">
        <v>13</v>
      </c>
      <c r="B15" s="7">
        <v>11309.27</v>
      </c>
      <c r="C15" s="7">
        <v>13546.14</v>
      </c>
      <c r="D15" s="16"/>
      <c r="E15" s="9">
        <v>15.0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22" t="s">
        <v>14</v>
      </c>
      <c r="B16" s="7">
        <v>8004.21</v>
      </c>
      <c r="C16" s="7">
        <v>8831.65</v>
      </c>
      <c r="D16" s="16"/>
      <c r="E16" s="9">
        <v>16.0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2" t="s">
        <v>15</v>
      </c>
      <c r="B17" s="7">
        <v>89.69</v>
      </c>
      <c r="C17" s="7">
        <v>0.0</v>
      </c>
      <c r="D17" s="16"/>
      <c r="E17" s="14">
        <v>17.0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22" t="s">
        <v>16</v>
      </c>
      <c r="B18" s="7">
        <v>4610.7</v>
      </c>
      <c r="C18" s="7">
        <v>3827.41</v>
      </c>
      <c r="D18" s="16"/>
      <c r="E18" s="9">
        <v>18.0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2" t="s">
        <v>17</v>
      </c>
      <c r="B19" s="7">
        <v>130.0</v>
      </c>
      <c r="C19" s="7">
        <v>689.04</v>
      </c>
      <c r="D19" s="16"/>
      <c r="E19" s="14">
        <v>19.0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22" t="s">
        <v>18</v>
      </c>
      <c r="B20" s="7">
        <v>2220.5</v>
      </c>
      <c r="C20" s="7">
        <v>3173.0</v>
      </c>
      <c r="D20" s="16"/>
      <c r="E20" s="9">
        <v>20.0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2" t="s">
        <v>19</v>
      </c>
      <c r="B21" s="7">
        <v>1746.04</v>
      </c>
      <c r="C21" s="7">
        <v>1718.64</v>
      </c>
      <c r="D21" s="16"/>
      <c r="E21" s="14">
        <v>21.0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22" t="s">
        <v>20</v>
      </c>
      <c r="B22" s="7">
        <v>11391.89</v>
      </c>
      <c r="C22" s="7">
        <v>15762.81</v>
      </c>
      <c r="D22" s="16"/>
      <c r="E22" s="9">
        <v>22.0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2" t="s">
        <v>21</v>
      </c>
      <c r="B23" s="7">
        <v>3415.32</v>
      </c>
      <c r="C23" s="7">
        <v>2658.48</v>
      </c>
      <c r="D23" s="16"/>
      <c r="E23" s="9">
        <v>23.0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22" t="s">
        <v>22</v>
      </c>
      <c r="B24" s="7">
        <v>2192.73</v>
      </c>
      <c r="C24" s="7">
        <v>2490.88</v>
      </c>
      <c r="D24" s="16"/>
      <c r="E24" s="14">
        <v>24.0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2" t="s">
        <v>23</v>
      </c>
      <c r="B25" s="7">
        <v>1289.32</v>
      </c>
      <c r="C25" s="7">
        <v>2959.9</v>
      </c>
      <c r="D25" s="16"/>
      <c r="E25" s="9">
        <v>25.0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22" t="s">
        <v>24</v>
      </c>
      <c r="B26" s="7">
        <v>2821.68</v>
      </c>
      <c r="C26" s="7">
        <v>1720.7</v>
      </c>
      <c r="D26" s="16"/>
      <c r="E26" s="14">
        <v>26.0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22" t="s">
        <v>25</v>
      </c>
      <c r="B27" s="7">
        <v>96933.75</v>
      </c>
      <c r="C27" s="7">
        <v>96359.48</v>
      </c>
      <c r="D27" s="16"/>
      <c r="E27" s="9">
        <v>27.0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22" t="s">
        <v>26</v>
      </c>
      <c r="B28" s="7">
        <v>616.98</v>
      </c>
      <c r="C28" s="7">
        <v>882.7</v>
      </c>
      <c r="D28" s="16"/>
      <c r="E28" s="14">
        <v>28.0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22" t="s">
        <v>27</v>
      </c>
      <c r="B29" s="7">
        <v>54659.15</v>
      </c>
      <c r="C29" s="7">
        <v>58444.66</v>
      </c>
      <c r="D29" s="16"/>
      <c r="E29" s="9">
        <v>29.0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22" t="s">
        <v>28</v>
      </c>
      <c r="B30" s="7">
        <v>740.62</v>
      </c>
      <c r="C30" s="7">
        <v>650.63</v>
      </c>
      <c r="D30" s="16"/>
      <c r="E30" s="9">
        <v>30.0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22" t="s">
        <v>29</v>
      </c>
      <c r="B31" s="7">
        <v>1213.98</v>
      </c>
      <c r="C31" s="7">
        <v>2376.29</v>
      </c>
      <c r="D31" s="16"/>
      <c r="E31" s="14">
        <v>31.0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22" t="s">
        <v>30</v>
      </c>
      <c r="B32" s="7">
        <v>2812.66</v>
      </c>
      <c r="C32" s="7">
        <v>2987.99</v>
      </c>
      <c r="D32" s="16"/>
      <c r="E32" s="9">
        <v>32.0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22" t="s">
        <v>31</v>
      </c>
      <c r="B33" s="7">
        <v>48.57</v>
      </c>
      <c r="C33" s="7">
        <v>0.0</v>
      </c>
      <c r="D33" s="16"/>
      <c r="E33" s="14">
        <v>33.0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22" t="s">
        <v>32</v>
      </c>
      <c r="B34" s="7">
        <v>9782.08</v>
      </c>
      <c r="C34" s="7">
        <v>11148.2</v>
      </c>
      <c r="D34" s="16"/>
      <c r="E34" s="9">
        <v>34.0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16" t="s">
        <v>33</v>
      </c>
      <c r="B35" s="7">
        <v>6480.02</v>
      </c>
      <c r="C35" s="7">
        <v>6656.27</v>
      </c>
      <c r="D35" s="16"/>
      <c r="E35" s="14">
        <v>35.0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24" t="s">
        <v>34</v>
      </c>
      <c r="B36" s="25">
        <f t="shared" ref="B36:C36" si="2">SUM(B9:B35)</f>
        <v>392824.74</v>
      </c>
      <c r="C36" s="25">
        <f t="shared" si="2"/>
        <v>447581.59</v>
      </c>
      <c r="D36" s="17"/>
      <c r="E36" s="9">
        <v>36.0</v>
      </c>
      <c r="F36" s="26"/>
      <c r="G36" s="26"/>
      <c r="H36" s="2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4" t="s">
        <v>35</v>
      </c>
      <c r="B37" s="27">
        <f t="shared" ref="B37:C37" si="3">B5</f>
        <v>619177.45</v>
      </c>
      <c r="C37" s="27">
        <f t="shared" si="3"/>
        <v>687544.96</v>
      </c>
      <c r="D37" s="17"/>
      <c r="E37" s="9">
        <v>37.0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28" t="s">
        <v>36</v>
      </c>
      <c r="B38" s="29">
        <f t="shared" ref="B38:C38" si="4">SUM(B2-B37-B36)</f>
        <v>-30992.35</v>
      </c>
      <c r="C38" s="29">
        <f t="shared" si="4"/>
        <v>-92574</v>
      </c>
      <c r="D38" s="17"/>
      <c r="E38" s="14">
        <v>38.0</v>
      </c>
      <c r="F38" s="5"/>
      <c r="G38" s="5"/>
      <c r="H38" s="26">
        <f>SUM(H36:H37)</f>
        <v>0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7"/>
      <c r="B39" s="17"/>
      <c r="C39" s="17"/>
      <c r="D39" s="17"/>
      <c r="E39" s="2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7" t="s">
        <v>37</v>
      </c>
      <c r="B40" s="30">
        <v>0.0</v>
      </c>
      <c r="C40" s="11">
        <v>0.0</v>
      </c>
      <c r="D40" s="17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7"/>
      <c r="B41" s="17"/>
      <c r="C41" s="17"/>
      <c r="D41" s="17"/>
      <c r="E41" s="2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7"/>
      <c r="B42" s="17"/>
      <c r="C42" s="17"/>
      <c r="D42" s="1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17"/>
      <c r="B43" s="17"/>
      <c r="C43" s="17"/>
      <c r="D43" s="31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17"/>
      <c r="B44" s="17"/>
      <c r="C44" s="17"/>
      <c r="D44" s="1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17"/>
      <c r="B45" s="17"/>
      <c r="C45" s="17"/>
      <c r="D45" s="31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17"/>
      <c r="B46" s="17"/>
      <c r="C46" s="17"/>
      <c r="D46" s="1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17"/>
      <c r="B47" s="17"/>
      <c r="C47" s="17"/>
      <c r="D47" s="1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17"/>
      <c r="B48" s="17"/>
      <c r="C48" s="17"/>
      <c r="D48" s="1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17"/>
      <c r="B49" s="17"/>
      <c r="C49" s="17"/>
      <c r="D49" s="1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17"/>
      <c r="B50" s="17"/>
      <c r="C50" s="17"/>
      <c r="D50" s="1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17"/>
      <c r="B51" s="17"/>
      <c r="C51" s="17"/>
      <c r="D51" s="1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17"/>
      <c r="B52" s="17"/>
      <c r="C52" s="17"/>
      <c r="D52" s="17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17"/>
      <c r="B53" s="17"/>
      <c r="C53" s="17"/>
      <c r="D53" s="1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17"/>
      <c r="B54" s="17"/>
      <c r="C54" s="17"/>
      <c r="D54" s="17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17"/>
      <c r="B55" s="17"/>
      <c r="C55" s="17"/>
      <c r="D55" s="17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17"/>
      <c r="B56" s="17"/>
      <c r="C56" s="17"/>
      <c r="D56" s="17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17"/>
      <c r="B57" s="17"/>
      <c r="C57" s="17"/>
      <c r="D57" s="17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17"/>
      <c r="B58" s="17"/>
      <c r="C58" s="17"/>
      <c r="D58" s="17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17"/>
      <c r="B59" s="17"/>
      <c r="C59" s="17"/>
      <c r="D59" s="17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17"/>
      <c r="B60" s="17"/>
      <c r="C60" s="17"/>
      <c r="D60" s="17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17"/>
      <c r="B61" s="17"/>
      <c r="C61" s="17"/>
      <c r="D61" s="17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17"/>
      <c r="B62" s="17"/>
      <c r="C62" s="17"/>
      <c r="D62" s="17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17"/>
      <c r="B63" s="17"/>
      <c r="C63" s="17"/>
      <c r="D63" s="17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17"/>
      <c r="B64" s="17"/>
      <c r="C64" s="17"/>
      <c r="D64" s="1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17"/>
      <c r="B65" s="17"/>
      <c r="C65" s="17"/>
      <c r="D65" s="17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17"/>
      <c r="B66" s="17"/>
      <c r="C66" s="17"/>
      <c r="D66" s="17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17"/>
      <c r="B67" s="17"/>
      <c r="C67" s="17"/>
      <c r="D67" s="17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17"/>
      <c r="B68" s="17"/>
      <c r="C68" s="17"/>
      <c r="D68" s="17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17"/>
      <c r="B69" s="17"/>
      <c r="C69" s="17"/>
      <c r="D69" s="17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17"/>
      <c r="B70" s="17"/>
      <c r="C70" s="17"/>
      <c r="D70" s="17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17"/>
      <c r="B71" s="17"/>
      <c r="C71" s="17"/>
      <c r="D71" s="1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17"/>
      <c r="B72" s="17"/>
      <c r="C72" s="17"/>
      <c r="D72" s="17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17"/>
      <c r="B73" s="17"/>
      <c r="C73" s="17"/>
      <c r="D73" s="17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17"/>
      <c r="B74" s="17"/>
      <c r="C74" s="17"/>
      <c r="D74" s="17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17"/>
      <c r="B75" s="17"/>
      <c r="C75" s="17"/>
      <c r="D75" s="17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17"/>
      <c r="B76" s="17"/>
      <c r="C76" s="17"/>
      <c r="D76" s="17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17"/>
      <c r="B77" s="17"/>
      <c r="C77" s="17"/>
      <c r="D77" s="17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17"/>
      <c r="B78" s="17"/>
      <c r="C78" s="17"/>
      <c r="D78" s="17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17"/>
      <c r="B79" s="17"/>
      <c r="C79" s="17"/>
      <c r="D79" s="17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17"/>
      <c r="B80" s="17"/>
      <c r="C80" s="17"/>
      <c r="D80" s="17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17"/>
      <c r="B81" s="17"/>
      <c r="C81" s="17"/>
      <c r="D81" s="17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17"/>
      <c r="B82" s="17"/>
      <c r="C82" s="17"/>
      <c r="D82" s="1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17"/>
      <c r="B83" s="17"/>
      <c r="C83" s="17"/>
      <c r="D83" s="17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17"/>
      <c r="B84" s="17"/>
      <c r="C84" s="17"/>
      <c r="D84" s="17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17"/>
      <c r="B85" s="17"/>
      <c r="C85" s="17"/>
      <c r="D85" s="17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17"/>
      <c r="B86" s="17"/>
      <c r="C86" s="17"/>
      <c r="D86" s="1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17"/>
      <c r="B87" s="17"/>
      <c r="C87" s="17"/>
      <c r="D87" s="17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17"/>
      <c r="B88" s="17"/>
      <c r="C88" s="17"/>
      <c r="D88" s="17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17"/>
      <c r="B89" s="17"/>
      <c r="C89" s="17"/>
      <c r="D89" s="17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17"/>
      <c r="B90" s="17"/>
      <c r="C90" s="17"/>
      <c r="D90" s="1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17"/>
      <c r="B91" s="17"/>
      <c r="C91" s="17"/>
      <c r="D91" s="1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17"/>
      <c r="B92" s="17"/>
      <c r="C92" s="17"/>
      <c r="D92" s="17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17"/>
      <c r="B93" s="17"/>
      <c r="C93" s="17"/>
      <c r="D93" s="1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17"/>
      <c r="B94" s="17"/>
      <c r="C94" s="17"/>
      <c r="D94" s="17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17"/>
      <c r="B95" s="17"/>
      <c r="C95" s="17"/>
      <c r="D95" s="17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17"/>
      <c r="B96" s="17"/>
      <c r="C96" s="17"/>
      <c r="D96" s="17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17"/>
      <c r="B97" s="17"/>
      <c r="C97" s="17"/>
      <c r="D97" s="17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17"/>
      <c r="B98" s="17"/>
      <c r="C98" s="17"/>
      <c r="D98" s="17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17"/>
      <c r="B99" s="17"/>
      <c r="C99" s="17"/>
      <c r="D99" s="1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17"/>
      <c r="B100" s="17"/>
      <c r="C100" s="17"/>
      <c r="D100" s="1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17"/>
      <c r="B101" s="17"/>
      <c r="C101" s="17"/>
      <c r="D101" s="1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17"/>
      <c r="B102" s="17"/>
      <c r="C102" s="17"/>
      <c r="D102" s="17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17"/>
      <c r="B103" s="17"/>
      <c r="C103" s="17"/>
      <c r="D103" s="1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17"/>
      <c r="B104" s="17"/>
      <c r="C104" s="17"/>
      <c r="D104" s="1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17"/>
      <c r="B105" s="17"/>
      <c r="C105" s="17"/>
      <c r="D105" s="17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17"/>
      <c r="B106" s="17"/>
      <c r="C106" s="17"/>
      <c r="D106" s="17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17"/>
      <c r="B107" s="17"/>
      <c r="C107" s="17"/>
      <c r="D107" s="17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17"/>
      <c r="B108" s="17"/>
      <c r="C108" s="17"/>
      <c r="D108" s="17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17"/>
      <c r="B109" s="17"/>
      <c r="C109" s="17"/>
      <c r="D109" s="17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17"/>
      <c r="B110" s="17"/>
      <c r="C110" s="17"/>
      <c r="D110" s="17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17"/>
      <c r="B111" s="17"/>
      <c r="C111" s="17"/>
      <c r="D111" s="17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17"/>
      <c r="B112" s="17"/>
      <c r="C112" s="17"/>
      <c r="D112" s="17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17"/>
      <c r="B113" s="17"/>
      <c r="C113" s="17"/>
      <c r="D113" s="17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17"/>
      <c r="B114" s="17"/>
      <c r="C114" s="17"/>
      <c r="D114" s="17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17"/>
      <c r="B115" s="17"/>
      <c r="C115" s="17"/>
      <c r="D115" s="17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17"/>
      <c r="B116" s="17"/>
      <c r="C116" s="17"/>
      <c r="D116" s="17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17"/>
      <c r="B117" s="17"/>
      <c r="C117" s="17"/>
      <c r="D117" s="1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17"/>
      <c r="B118" s="17"/>
      <c r="C118" s="17"/>
      <c r="D118" s="17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17"/>
      <c r="B119" s="17"/>
      <c r="C119" s="17"/>
      <c r="D119" s="17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17"/>
      <c r="B120" s="17"/>
      <c r="C120" s="17"/>
      <c r="D120" s="17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17"/>
      <c r="B121" s="17"/>
      <c r="C121" s="17"/>
      <c r="D121" s="17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17"/>
      <c r="B122" s="17"/>
      <c r="C122" s="17"/>
      <c r="D122" s="17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17"/>
      <c r="B123" s="17"/>
      <c r="C123" s="17"/>
      <c r="D123" s="17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17"/>
      <c r="B124" s="17"/>
      <c r="C124" s="17"/>
      <c r="D124" s="17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17"/>
      <c r="B125" s="17"/>
      <c r="C125" s="17"/>
      <c r="D125" s="17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17"/>
      <c r="B126" s="17"/>
      <c r="C126" s="17"/>
      <c r="D126" s="17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17"/>
      <c r="B127" s="17"/>
      <c r="C127" s="17"/>
      <c r="D127" s="17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17"/>
      <c r="B128" s="17"/>
      <c r="C128" s="17"/>
      <c r="D128" s="17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17"/>
      <c r="B129" s="17"/>
      <c r="C129" s="17"/>
      <c r="D129" s="17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17"/>
      <c r="B130" s="17"/>
      <c r="C130" s="17"/>
      <c r="D130" s="17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17"/>
      <c r="B131" s="17"/>
      <c r="C131" s="17"/>
      <c r="D131" s="17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17"/>
      <c r="B132" s="17"/>
      <c r="C132" s="17"/>
      <c r="D132" s="17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17"/>
      <c r="B133" s="17"/>
      <c r="C133" s="17"/>
      <c r="D133" s="17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17"/>
      <c r="B134" s="17"/>
      <c r="C134" s="17"/>
      <c r="D134" s="17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17"/>
      <c r="B135" s="17"/>
      <c r="C135" s="17"/>
      <c r="D135" s="17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17"/>
      <c r="B136" s="17"/>
      <c r="C136" s="17"/>
      <c r="D136" s="17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17"/>
      <c r="B137" s="17"/>
      <c r="C137" s="17"/>
      <c r="D137" s="1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17"/>
      <c r="B138" s="17"/>
      <c r="C138" s="17"/>
      <c r="D138" s="17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17"/>
      <c r="B139" s="17"/>
      <c r="C139" s="17"/>
      <c r="D139" s="17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17"/>
      <c r="B140" s="17"/>
      <c r="C140" s="17"/>
      <c r="D140" s="17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17"/>
      <c r="B141" s="17"/>
      <c r="C141" s="17"/>
      <c r="D141" s="17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17"/>
      <c r="B142" s="17"/>
      <c r="C142" s="17"/>
      <c r="D142" s="17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17"/>
      <c r="B143" s="17"/>
      <c r="C143" s="17"/>
      <c r="D143" s="17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17"/>
      <c r="B144" s="17"/>
      <c r="C144" s="17"/>
      <c r="D144" s="17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17"/>
      <c r="B145" s="17"/>
      <c r="C145" s="17"/>
      <c r="D145" s="17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17"/>
      <c r="B146" s="17"/>
      <c r="C146" s="17"/>
      <c r="D146" s="1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17"/>
      <c r="B147" s="17"/>
      <c r="C147" s="17"/>
      <c r="D147" s="1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17"/>
      <c r="B148" s="17"/>
      <c r="C148" s="17"/>
      <c r="D148" s="17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17"/>
      <c r="B149" s="17"/>
      <c r="C149" s="17"/>
      <c r="D149" s="17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17"/>
      <c r="B150" s="17"/>
      <c r="C150" s="17"/>
      <c r="D150" s="17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17"/>
      <c r="B151" s="17"/>
      <c r="C151" s="17"/>
      <c r="D151" s="17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17"/>
      <c r="B152" s="17"/>
      <c r="C152" s="17"/>
      <c r="D152" s="1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17"/>
      <c r="B153" s="17"/>
      <c r="C153" s="17"/>
      <c r="D153" s="1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17"/>
      <c r="B154" s="17"/>
      <c r="C154" s="17"/>
      <c r="D154" s="1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17"/>
      <c r="B155" s="17"/>
      <c r="C155" s="17"/>
      <c r="D155" s="17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17"/>
      <c r="B156" s="17"/>
      <c r="C156" s="17"/>
      <c r="D156" s="17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17"/>
      <c r="B157" s="17"/>
      <c r="C157" s="17"/>
      <c r="D157" s="17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17"/>
      <c r="B158" s="17"/>
      <c r="C158" s="17"/>
      <c r="D158" s="1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17"/>
      <c r="B159" s="17"/>
      <c r="C159" s="17"/>
      <c r="D159" s="17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17"/>
      <c r="B160" s="17"/>
      <c r="C160" s="17"/>
      <c r="D160" s="1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17"/>
      <c r="B161" s="17"/>
      <c r="C161" s="17"/>
      <c r="D161" s="1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17"/>
      <c r="B162" s="17"/>
      <c r="C162" s="17"/>
      <c r="D162" s="1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17"/>
      <c r="B163" s="17"/>
      <c r="C163" s="17"/>
      <c r="D163" s="17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17"/>
      <c r="B164" s="17"/>
      <c r="C164" s="17"/>
      <c r="D164" s="17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17"/>
      <c r="B165" s="17"/>
      <c r="C165" s="17"/>
      <c r="D165" s="17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17"/>
      <c r="B166" s="17"/>
      <c r="C166" s="17"/>
      <c r="D166" s="17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17"/>
      <c r="B167" s="17"/>
      <c r="C167" s="17"/>
      <c r="D167" s="17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17"/>
      <c r="B168" s="17"/>
      <c r="C168" s="17"/>
      <c r="D168" s="17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17"/>
      <c r="B169" s="17"/>
      <c r="C169" s="17"/>
      <c r="D169" s="17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17"/>
      <c r="B170" s="17"/>
      <c r="C170" s="17"/>
      <c r="D170" s="17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17"/>
      <c r="B171" s="17"/>
      <c r="C171" s="17"/>
      <c r="D171" s="17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17"/>
      <c r="B172" s="17"/>
      <c r="C172" s="17"/>
      <c r="D172" s="17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17"/>
      <c r="B173" s="17"/>
      <c r="C173" s="17"/>
      <c r="D173" s="17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17"/>
      <c r="B174" s="17"/>
      <c r="C174" s="17"/>
      <c r="D174" s="17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17"/>
      <c r="B175" s="17"/>
      <c r="C175" s="17"/>
      <c r="D175" s="17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17"/>
      <c r="B176" s="17"/>
      <c r="C176" s="17"/>
      <c r="D176" s="17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17"/>
      <c r="B177" s="17"/>
      <c r="C177" s="17"/>
      <c r="D177" s="17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17"/>
      <c r="B178" s="17"/>
      <c r="C178" s="17"/>
      <c r="D178" s="17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17"/>
      <c r="B179" s="17"/>
      <c r="C179" s="17"/>
      <c r="D179" s="17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17"/>
      <c r="B180" s="17"/>
      <c r="C180" s="17"/>
      <c r="D180" s="17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17"/>
      <c r="B181" s="17"/>
      <c r="C181" s="17"/>
      <c r="D181" s="17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17"/>
      <c r="B182" s="17"/>
      <c r="C182" s="17"/>
      <c r="D182" s="17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17"/>
      <c r="B183" s="17"/>
      <c r="C183" s="17"/>
      <c r="D183" s="17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17"/>
      <c r="B184" s="17"/>
      <c r="C184" s="17"/>
      <c r="D184" s="17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17"/>
      <c r="B185" s="17"/>
      <c r="C185" s="17"/>
      <c r="D185" s="17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17"/>
      <c r="B186" s="17"/>
      <c r="C186" s="17"/>
      <c r="D186" s="17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17"/>
      <c r="B187" s="17"/>
      <c r="C187" s="17"/>
      <c r="D187" s="17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17"/>
      <c r="B188" s="17"/>
      <c r="C188" s="17"/>
      <c r="D188" s="17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17"/>
      <c r="B189" s="17"/>
      <c r="C189" s="17"/>
      <c r="D189" s="17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17"/>
      <c r="B190" s="17"/>
      <c r="C190" s="17"/>
      <c r="D190" s="17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17"/>
      <c r="B191" s="17"/>
      <c r="C191" s="17"/>
      <c r="D191" s="17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17"/>
      <c r="B192" s="17"/>
      <c r="C192" s="17"/>
      <c r="D192" s="17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17"/>
      <c r="B193" s="17"/>
      <c r="C193" s="17"/>
      <c r="D193" s="17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17"/>
      <c r="B194" s="17"/>
      <c r="C194" s="17"/>
      <c r="D194" s="17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17"/>
      <c r="B195" s="17"/>
      <c r="C195" s="17"/>
      <c r="D195" s="17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17"/>
      <c r="B196" s="17"/>
      <c r="C196" s="17"/>
      <c r="D196" s="17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17"/>
      <c r="B197" s="17"/>
      <c r="C197" s="17"/>
      <c r="D197" s="17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17"/>
      <c r="B198" s="17"/>
      <c r="C198" s="17"/>
      <c r="D198" s="17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17"/>
      <c r="B199" s="17"/>
      <c r="C199" s="17"/>
      <c r="D199" s="17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17"/>
      <c r="B200" s="17"/>
      <c r="C200" s="17"/>
      <c r="D200" s="17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17"/>
      <c r="B201" s="17"/>
      <c r="C201" s="17"/>
      <c r="D201" s="17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17"/>
      <c r="B202" s="17"/>
      <c r="C202" s="17"/>
      <c r="D202" s="17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17"/>
      <c r="B203" s="17"/>
      <c r="C203" s="17"/>
      <c r="D203" s="17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17"/>
      <c r="B204" s="17"/>
      <c r="C204" s="17"/>
      <c r="D204" s="17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17"/>
      <c r="B205" s="17"/>
      <c r="C205" s="17"/>
      <c r="D205" s="17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17"/>
      <c r="B206" s="17"/>
      <c r="C206" s="17"/>
      <c r="D206" s="17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17"/>
      <c r="B207" s="17"/>
      <c r="C207" s="17"/>
      <c r="D207" s="1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17"/>
      <c r="B208" s="17"/>
      <c r="C208" s="17"/>
      <c r="D208" s="1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17"/>
      <c r="B209" s="17"/>
      <c r="C209" s="17"/>
      <c r="D209" s="17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17"/>
      <c r="B210" s="17"/>
      <c r="C210" s="17"/>
      <c r="D210" s="17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17"/>
      <c r="B211" s="17"/>
      <c r="C211" s="17"/>
      <c r="D211" s="1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17"/>
      <c r="B212" s="17"/>
      <c r="C212" s="17"/>
      <c r="D212" s="1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17"/>
      <c r="B213" s="17"/>
      <c r="C213" s="17"/>
      <c r="D213" s="1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17"/>
      <c r="B214" s="17"/>
      <c r="C214" s="17"/>
      <c r="D214" s="1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17"/>
      <c r="B215" s="17"/>
      <c r="C215" s="17"/>
      <c r="D215" s="1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17"/>
      <c r="B216" s="17"/>
      <c r="C216" s="17"/>
      <c r="D216" s="1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17"/>
      <c r="B217" s="17"/>
      <c r="C217" s="17"/>
      <c r="D217" s="1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17"/>
      <c r="B218" s="17"/>
      <c r="C218" s="17"/>
      <c r="D218" s="1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17"/>
      <c r="B219" s="17"/>
      <c r="C219" s="17"/>
      <c r="D219" s="1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17"/>
      <c r="B220" s="17"/>
      <c r="C220" s="17"/>
      <c r="D220" s="1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17"/>
      <c r="B221" s="17"/>
      <c r="C221" s="17"/>
      <c r="D221" s="1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17"/>
      <c r="B222" s="17"/>
      <c r="C222" s="17"/>
      <c r="D222" s="1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17"/>
      <c r="B223" s="17"/>
      <c r="C223" s="17"/>
      <c r="D223" s="17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17"/>
      <c r="B224" s="17"/>
      <c r="C224" s="17"/>
      <c r="D224" s="17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17"/>
      <c r="B225" s="17"/>
      <c r="C225" s="17"/>
      <c r="D225" s="17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17"/>
      <c r="B226" s="17"/>
      <c r="C226" s="17"/>
      <c r="D226" s="17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17"/>
      <c r="B227" s="17"/>
      <c r="C227" s="17"/>
      <c r="D227" s="17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17"/>
      <c r="B228" s="17"/>
      <c r="C228" s="17"/>
      <c r="D228" s="17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17"/>
      <c r="B229" s="17"/>
      <c r="C229" s="17"/>
      <c r="D229" s="17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17"/>
      <c r="B230" s="17"/>
      <c r="C230" s="17"/>
      <c r="D230" s="17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17"/>
      <c r="B231" s="17"/>
      <c r="C231" s="17"/>
      <c r="D231" s="17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17"/>
      <c r="B232" s="17"/>
      <c r="C232" s="17"/>
      <c r="D232" s="17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17"/>
      <c r="B233" s="17"/>
      <c r="C233" s="17"/>
      <c r="D233" s="17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17"/>
      <c r="B234" s="17"/>
      <c r="C234" s="17"/>
      <c r="D234" s="17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17"/>
      <c r="B235" s="17"/>
      <c r="C235" s="17"/>
      <c r="D235" s="17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17"/>
      <c r="B236" s="17"/>
      <c r="C236" s="17"/>
      <c r="D236" s="17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17"/>
      <c r="B237" s="17"/>
      <c r="C237" s="17"/>
      <c r="D237" s="1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17"/>
      <c r="B238" s="17"/>
      <c r="C238" s="17"/>
      <c r="D238" s="1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17"/>
      <c r="B239" s="17"/>
      <c r="C239" s="17"/>
      <c r="D239" s="17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17"/>
      <c r="B240" s="17"/>
      <c r="C240" s="17"/>
      <c r="D240" s="17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17"/>
      <c r="B241" s="17"/>
      <c r="C241" s="17"/>
      <c r="D241" s="17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17"/>
      <c r="B242" s="17"/>
      <c r="C242" s="17"/>
      <c r="D242" s="17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17"/>
      <c r="B243" s="17"/>
      <c r="C243" s="17"/>
      <c r="D243" s="17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17"/>
      <c r="B244" s="17"/>
      <c r="C244" s="17"/>
      <c r="D244" s="17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17"/>
      <c r="B245" s="17"/>
      <c r="C245" s="17"/>
      <c r="D245" s="17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17"/>
      <c r="B246" s="17"/>
      <c r="C246" s="17"/>
      <c r="D246" s="17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17"/>
      <c r="B247" s="17"/>
      <c r="C247" s="17"/>
      <c r="D247" s="17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17"/>
      <c r="B248" s="17"/>
      <c r="C248" s="17"/>
      <c r="D248" s="17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17"/>
      <c r="B249" s="17"/>
      <c r="C249" s="17"/>
      <c r="D249" s="17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17"/>
      <c r="B250" s="17"/>
      <c r="C250" s="17"/>
      <c r="D250" s="17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17"/>
      <c r="B251" s="17"/>
      <c r="C251" s="17"/>
      <c r="D251" s="17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17"/>
      <c r="B252" s="17"/>
      <c r="C252" s="17"/>
      <c r="D252" s="17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17"/>
      <c r="B253" s="17"/>
      <c r="C253" s="17"/>
      <c r="D253" s="17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17"/>
      <c r="B254" s="17"/>
      <c r="C254" s="17"/>
      <c r="D254" s="17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17"/>
      <c r="B255" s="17"/>
      <c r="C255" s="17"/>
      <c r="D255" s="17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17"/>
      <c r="B256" s="17"/>
      <c r="C256" s="17"/>
      <c r="D256" s="17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17"/>
      <c r="B257" s="17"/>
      <c r="C257" s="17"/>
      <c r="D257" s="17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17"/>
      <c r="B258" s="17"/>
      <c r="C258" s="17"/>
      <c r="D258" s="17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17"/>
      <c r="B259" s="17"/>
      <c r="C259" s="17"/>
      <c r="D259" s="17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17"/>
      <c r="B260" s="17"/>
      <c r="C260" s="17"/>
      <c r="D260" s="1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17"/>
      <c r="B261" s="17"/>
      <c r="C261" s="17"/>
      <c r="D261" s="17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17"/>
      <c r="B262" s="17"/>
      <c r="C262" s="17"/>
      <c r="D262" s="17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17"/>
      <c r="B263" s="17"/>
      <c r="C263" s="17"/>
      <c r="D263" s="17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17"/>
      <c r="B264" s="17"/>
      <c r="C264" s="17"/>
      <c r="D264" s="17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17"/>
      <c r="B265" s="17"/>
      <c r="C265" s="17"/>
      <c r="D265" s="17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17"/>
      <c r="B266" s="17"/>
      <c r="C266" s="17"/>
      <c r="D266" s="17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17"/>
      <c r="B267" s="17"/>
      <c r="C267" s="17"/>
      <c r="D267" s="17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17"/>
      <c r="B268" s="17"/>
      <c r="C268" s="17"/>
      <c r="D268" s="17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17"/>
      <c r="B269" s="17"/>
      <c r="C269" s="17"/>
      <c r="D269" s="17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17"/>
      <c r="B270" s="17"/>
      <c r="C270" s="17"/>
      <c r="D270" s="17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17"/>
      <c r="B271" s="17"/>
      <c r="C271" s="17"/>
      <c r="D271" s="17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17"/>
      <c r="B272" s="17"/>
      <c r="C272" s="17"/>
      <c r="D272" s="17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17"/>
      <c r="B273" s="17"/>
      <c r="C273" s="17"/>
      <c r="D273" s="17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17"/>
      <c r="B274" s="17"/>
      <c r="C274" s="17"/>
      <c r="D274" s="17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17"/>
      <c r="B275" s="17"/>
      <c r="C275" s="17"/>
      <c r="D275" s="17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17"/>
      <c r="B276" s="17"/>
      <c r="C276" s="17"/>
      <c r="D276" s="17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17"/>
      <c r="B277" s="17"/>
      <c r="C277" s="17"/>
      <c r="D277" s="17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17"/>
      <c r="B278" s="17"/>
      <c r="C278" s="17"/>
      <c r="D278" s="17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17"/>
      <c r="B279" s="17"/>
      <c r="C279" s="17"/>
      <c r="D279" s="17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17"/>
      <c r="B280" s="17"/>
      <c r="C280" s="17"/>
      <c r="D280" s="17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17"/>
      <c r="B281" s="17"/>
      <c r="C281" s="17"/>
      <c r="D281" s="17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17"/>
      <c r="B282" s="17"/>
      <c r="C282" s="17"/>
      <c r="D282" s="17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17"/>
      <c r="B283" s="17"/>
      <c r="C283" s="17"/>
      <c r="D283" s="17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17"/>
      <c r="B284" s="17"/>
      <c r="C284" s="17"/>
      <c r="D284" s="17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17"/>
      <c r="B285" s="17"/>
      <c r="C285" s="17"/>
      <c r="D285" s="17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17"/>
      <c r="B286" s="17"/>
      <c r="C286" s="17"/>
      <c r="D286" s="17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17"/>
      <c r="B287" s="17"/>
      <c r="C287" s="17"/>
      <c r="D287" s="17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17"/>
      <c r="B288" s="17"/>
      <c r="C288" s="17"/>
      <c r="D288" s="17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17"/>
      <c r="B289" s="17"/>
      <c r="C289" s="17"/>
      <c r="D289" s="17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17"/>
      <c r="B290" s="17"/>
      <c r="C290" s="17"/>
      <c r="D290" s="17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17"/>
      <c r="B291" s="17"/>
      <c r="C291" s="17"/>
      <c r="D291" s="17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17"/>
      <c r="B292" s="17"/>
      <c r="C292" s="17"/>
      <c r="D292" s="17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17"/>
      <c r="B293" s="17"/>
      <c r="C293" s="17"/>
      <c r="D293" s="17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17"/>
      <c r="B294" s="17"/>
      <c r="C294" s="17"/>
      <c r="D294" s="17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17"/>
      <c r="B295" s="17"/>
      <c r="C295" s="17"/>
      <c r="D295" s="17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17"/>
      <c r="B296" s="17"/>
      <c r="C296" s="17"/>
      <c r="D296" s="17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17"/>
      <c r="B297" s="17"/>
      <c r="C297" s="17"/>
      <c r="D297" s="17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17"/>
      <c r="B298" s="17"/>
      <c r="C298" s="17"/>
      <c r="D298" s="17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17"/>
      <c r="B299" s="17"/>
      <c r="C299" s="17"/>
      <c r="D299" s="17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17"/>
      <c r="B300" s="17"/>
      <c r="C300" s="17"/>
      <c r="D300" s="17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17"/>
      <c r="B301" s="17"/>
      <c r="C301" s="17"/>
      <c r="D301" s="17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17"/>
      <c r="B302" s="17"/>
      <c r="C302" s="17"/>
      <c r="D302" s="17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17"/>
      <c r="B303" s="17"/>
      <c r="C303" s="17"/>
      <c r="D303" s="17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17"/>
      <c r="B304" s="17"/>
      <c r="C304" s="17"/>
      <c r="D304" s="17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17"/>
      <c r="B305" s="17"/>
      <c r="C305" s="17"/>
      <c r="D305" s="17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17"/>
      <c r="B306" s="17"/>
      <c r="C306" s="17"/>
      <c r="D306" s="17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17"/>
      <c r="B307" s="17"/>
      <c r="C307" s="17"/>
      <c r="D307" s="17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17"/>
      <c r="B308" s="17"/>
      <c r="C308" s="17"/>
      <c r="D308" s="17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17"/>
      <c r="B309" s="17"/>
      <c r="C309" s="17"/>
      <c r="D309" s="17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17"/>
      <c r="B310" s="17"/>
      <c r="C310" s="17"/>
      <c r="D310" s="17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17"/>
      <c r="B311" s="17"/>
      <c r="C311" s="17"/>
      <c r="D311" s="17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17"/>
      <c r="B312" s="17"/>
      <c r="C312" s="17"/>
      <c r="D312" s="17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17"/>
      <c r="B313" s="17"/>
      <c r="C313" s="17"/>
      <c r="D313" s="17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17"/>
      <c r="B314" s="17"/>
      <c r="C314" s="17"/>
      <c r="D314" s="17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17"/>
      <c r="B315" s="17"/>
      <c r="C315" s="17"/>
      <c r="D315" s="17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17"/>
      <c r="B316" s="17"/>
      <c r="C316" s="17"/>
      <c r="D316" s="17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17"/>
      <c r="B317" s="17"/>
      <c r="C317" s="17"/>
      <c r="D317" s="17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17"/>
      <c r="B318" s="17"/>
      <c r="C318" s="17"/>
      <c r="D318" s="17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17"/>
      <c r="B319" s="17"/>
      <c r="C319" s="17"/>
      <c r="D319" s="17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17"/>
      <c r="B320" s="17"/>
      <c r="C320" s="17"/>
      <c r="D320" s="17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17"/>
      <c r="B321" s="17"/>
      <c r="C321" s="17"/>
      <c r="D321" s="17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17"/>
      <c r="B322" s="17"/>
      <c r="C322" s="17"/>
      <c r="D322" s="17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17"/>
      <c r="B323" s="17"/>
      <c r="C323" s="17"/>
      <c r="D323" s="17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17"/>
      <c r="B324" s="17"/>
      <c r="C324" s="17"/>
      <c r="D324" s="17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17"/>
      <c r="B325" s="17"/>
      <c r="C325" s="17"/>
      <c r="D325" s="17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17"/>
      <c r="B326" s="17"/>
      <c r="C326" s="17"/>
      <c r="D326" s="17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17"/>
      <c r="B327" s="17"/>
      <c r="C327" s="17"/>
      <c r="D327" s="17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17"/>
      <c r="B328" s="17"/>
      <c r="C328" s="17"/>
      <c r="D328" s="17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17"/>
      <c r="B329" s="17"/>
      <c r="C329" s="17"/>
      <c r="D329" s="17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17"/>
      <c r="B330" s="17"/>
      <c r="C330" s="17"/>
      <c r="D330" s="17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17"/>
      <c r="B331" s="17"/>
      <c r="C331" s="17"/>
      <c r="D331" s="17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17"/>
      <c r="B332" s="17"/>
      <c r="C332" s="17"/>
      <c r="D332" s="17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17"/>
      <c r="B333" s="17"/>
      <c r="C333" s="17"/>
      <c r="D333" s="17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17"/>
      <c r="B334" s="17"/>
      <c r="C334" s="17"/>
      <c r="D334" s="17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17"/>
      <c r="B335" s="17"/>
      <c r="C335" s="17"/>
      <c r="D335" s="17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17"/>
      <c r="B336" s="17"/>
      <c r="C336" s="17"/>
      <c r="D336" s="17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17"/>
      <c r="B337" s="17"/>
      <c r="C337" s="17"/>
      <c r="D337" s="17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17"/>
      <c r="B338" s="17"/>
      <c r="C338" s="17"/>
      <c r="D338" s="17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17"/>
      <c r="B339" s="17"/>
      <c r="C339" s="17"/>
      <c r="D339" s="17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17"/>
      <c r="B340" s="17"/>
      <c r="C340" s="17"/>
      <c r="D340" s="17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17"/>
      <c r="B341" s="17"/>
      <c r="C341" s="17"/>
      <c r="D341" s="17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17"/>
      <c r="B342" s="17"/>
      <c r="C342" s="17"/>
      <c r="D342" s="17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17"/>
      <c r="B343" s="17"/>
      <c r="C343" s="17"/>
      <c r="D343" s="17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17"/>
      <c r="B344" s="17"/>
      <c r="C344" s="17"/>
      <c r="D344" s="17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17"/>
      <c r="B345" s="17"/>
      <c r="C345" s="17"/>
      <c r="D345" s="17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17"/>
      <c r="B346" s="17"/>
      <c r="C346" s="17"/>
      <c r="D346" s="17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17"/>
      <c r="B347" s="17"/>
      <c r="C347" s="17"/>
      <c r="D347" s="17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17"/>
      <c r="B348" s="17"/>
      <c r="C348" s="17"/>
      <c r="D348" s="17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17"/>
      <c r="B349" s="17"/>
      <c r="C349" s="17"/>
      <c r="D349" s="17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17"/>
      <c r="B350" s="17"/>
      <c r="C350" s="17"/>
      <c r="D350" s="17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17"/>
      <c r="B351" s="17"/>
      <c r="C351" s="17"/>
      <c r="D351" s="17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17"/>
      <c r="B352" s="17"/>
      <c r="C352" s="17"/>
      <c r="D352" s="17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17"/>
      <c r="B353" s="17"/>
      <c r="C353" s="17"/>
      <c r="D353" s="17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17"/>
      <c r="B354" s="17"/>
      <c r="C354" s="17"/>
      <c r="D354" s="17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17"/>
      <c r="B355" s="17"/>
      <c r="C355" s="17"/>
      <c r="D355" s="17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17"/>
      <c r="B356" s="17"/>
      <c r="C356" s="17"/>
      <c r="D356" s="17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17"/>
      <c r="B357" s="17"/>
      <c r="C357" s="17"/>
      <c r="D357" s="17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17"/>
      <c r="B358" s="17"/>
      <c r="C358" s="17"/>
      <c r="D358" s="17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17"/>
      <c r="B359" s="17"/>
      <c r="C359" s="17"/>
      <c r="D359" s="17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17"/>
      <c r="B360" s="17"/>
      <c r="C360" s="17"/>
      <c r="D360" s="17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17"/>
      <c r="B361" s="17"/>
      <c r="C361" s="17"/>
      <c r="D361" s="17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17"/>
      <c r="B362" s="17"/>
      <c r="C362" s="17"/>
      <c r="D362" s="17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17"/>
      <c r="B363" s="17"/>
      <c r="C363" s="17"/>
      <c r="D363" s="17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17"/>
      <c r="B364" s="17"/>
      <c r="C364" s="17"/>
      <c r="D364" s="17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17"/>
      <c r="B365" s="17"/>
      <c r="C365" s="17"/>
      <c r="D365" s="17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17"/>
      <c r="B366" s="17"/>
      <c r="C366" s="17"/>
      <c r="D366" s="17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17"/>
      <c r="B367" s="17"/>
      <c r="C367" s="17"/>
      <c r="D367" s="17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17"/>
      <c r="B368" s="17"/>
      <c r="C368" s="17"/>
      <c r="D368" s="17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17"/>
      <c r="B369" s="17"/>
      <c r="C369" s="17"/>
      <c r="D369" s="17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17"/>
      <c r="B370" s="17"/>
      <c r="C370" s="17"/>
      <c r="D370" s="17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17"/>
      <c r="B371" s="17"/>
      <c r="C371" s="17"/>
      <c r="D371" s="17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17"/>
      <c r="B372" s="17"/>
      <c r="C372" s="17"/>
      <c r="D372" s="17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17"/>
      <c r="B373" s="17"/>
      <c r="C373" s="17"/>
      <c r="D373" s="17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17"/>
      <c r="B374" s="17"/>
      <c r="C374" s="17"/>
      <c r="D374" s="17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17"/>
      <c r="B375" s="17"/>
      <c r="C375" s="17"/>
      <c r="D375" s="17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17"/>
      <c r="B376" s="17"/>
      <c r="C376" s="17"/>
      <c r="D376" s="17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17"/>
      <c r="B377" s="17"/>
      <c r="C377" s="17"/>
      <c r="D377" s="17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17"/>
      <c r="B378" s="17"/>
      <c r="C378" s="17"/>
      <c r="D378" s="17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17"/>
      <c r="B379" s="17"/>
      <c r="C379" s="17"/>
      <c r="D379" s="17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17"/>
      <c r="B380" s="17"/>
      <c r="C380" s="17"/>
      <c r="D380" s="17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17"/>
      <c r="B381" s="17"/>
      <c r="C381" s="17"/>
      <c r="D381" s="17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17"/>
      <c r="B382" s="17"/>
      <c r="C382" s="17"/>
      <c r="D382" s="17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17"/>
      <c r="B383" s="17"/>
      <c r="C383" s="17"/>
      <c r="D383" s="17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17"/>
      <c r="B384" s="17"/>
      <c r="C384" s="17"/>
      <c r="D384" s="17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17"/>
      <c r="B385" s="17"/>
      <c r="C385" s="17"/>
      <c r="D385" s="17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17"/>
      <c r="B386" s="17"/>
      <c r="C386" s="17"/>
      <c r="D386" s="17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17"/>
      <c r="B387" s="17"/>
      <c r="C387" s="17"/>
      <c r="D387" s="17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17"/>
      <c r="B388" s="17"/>
      <c r="C388" s="17"/>
      <c r="D388" s="17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17"/>
      <c r="B389" s="17"/>
      <c r="C389" s="17"/>
      <c r="D389" s="17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17"/>
      <c r="B390" s="17"/>
      <c r="C390" s="17"/>
      <c r="D390" s="17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17"/>
      <c r="B391" s="17"/>
      <c r="C391" s="17"/>
      <c r="D391" s="17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17"/>
      <c r="B392" s="17"/>
      <c r="C392" s="17"/>
      <c r="D392" s="17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17"/>
      <c r="B393" s="17"/>
      <c r="C393" s="17"/>
      <c r="D393" s="17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17"/>
      <c r="B394" s="17"/>
      <c r="C394" s="17"/>
      <c r="D394" s="17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17"/>
      <c r="B395" s="17"/>
      <c r="C395" s="17"/>
      <c r="D395" s="17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17"/>
      <c r="B396" s="17"/>
      <c r="C396" s="17"/>
      <c r="D396" s="17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17"/>
      <c r="B397" s="17"/>
      <c r="C397" s="17"/>
      <c r="D397" s="17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17"/>
      <c r="B398" s="17"/>
      <c r="C398" s="17"/>
      <c r="D398" s="17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17"/>
      <c r="B399" s="17"/>
      <c r="C399" s="17"/>
      <c r="D399" s="17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17"/>
      <c r="B400" s="17"/>
      <c r="C400" s="17"/>
      <c r="D400" s="17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17"/>
      <c r="B401" s="17"/>
      <c r="C401" s="17"/>
      <c r="D401" s="17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17"/>
      <c r="B402" s="17"/>
      <c r="C402" s="17"/>
      <c r="D402" s="17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17"/>
      <c r="B403" s="17"/>
      <c r="C403" s="17"/>
      <c r="D403" s="17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17"/>
      <c r="B404" s="17"/>
      <c r="C404" s="17"/>
      <c r="D404" s="17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17"/>
      <c r="B405" s="17"/>
      <c r="C405" s="17"/>
      <c r="D405" s="17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17"/>
      <c r="B406" s="17"/>
      <c r="C406" s="17"/>
      <c r="D406" s="17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17"/>
      <c r="B407" s="17"/>
      <c r="C407" s="17"/>
      <c r="D407" s="17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17"/>
      <c r="B408" s="17"/>
      <c r="C408" s="17"/>
      <c r="D408" s="17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17"/>
      <c r="B409" s="17"/>
      <c r="C409" s="17"/>
      <c r="D409" s="17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17"/>
      <c r="B410" s="17"/>
      <c r="C410" s="17"/>
      <c r="D410" s="17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17"/>
      <c r="B411" s="17"/>
      <c r="C411" s="17"/>
      <c r="D411" s="17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17"/>
      <c r="B412" s="17"/>
      <c r="C412" s="17"/>
      <c r="D412" s="17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17"/>
      <c r="B413" s="17"/>
      <c r="C413" s="17"/>
      <c r="D413" s="17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17"/>
      <c r="B414" s="17"/>
      <c r="C414" s="17"/>
      <c r="D414" s="17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17"/>
      <c r="B415" s="17"/>
      <c r="C415" s="17"/>
      <c r="D415" s="17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17"/>
      <c r="B416" s="17"/>
      <c r="C416" s="17"/>
      <c r="D416" s="17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17"/>
      <c r="B417" s="17"/>
      <c r="C417" s="17"/>
      <c r="D417" s="17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17"/>
      <c r="B418" s="17"/>
      <c r="C418" s="17"/>
      <c r="D418" s="17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17"/>
      <c r="B419" s="17"/>
      <c r="C419" s="17"/>
      <c r="D419" s="17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17"/>
      <c r="B420" s="17"/>
      <c r="C420" s="17"/>
      <c r="D420" s="17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17"/>
      <c r="B421" s="17"/>
      <c r="C421" s="17"/>
      <c r="D421" s="17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17"/>
      <c r="B422" s="17"/>
      <c r="C422" s="17"/>
      <c r="D422" s="17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17"/>
      <c r="B423" s="17"/>
      <c r="C423" s="17"/>
      <c r="D423" s="17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17"/>
      <c r="B424" s="17"/>
      <c r="C424" s="17"/>
      <c r="D424" s="17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17"/>
      <c r="B425" s="17"/>
      <c r="C425" s="17"/>
      <c r="D425" s="17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17"/>
      <c r="B426" s="17"/>
      <c r="C426" s="17"/>
      <c r="D426" s="17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17"/>
      <c r="B427" s="17"/>
      <c r="C427" s="17"/>
      <c r="D427" s="17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17"/>
      <c r="B428" s="17"/>
      <c r="C428" s="17"/>
      <c r="D428" s="17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17"/>
      <c r="B429" s="17"/>
      <c r="C429" s="17"/>
      <c r="D429" s="17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17"/>
      <c r="B430" s="17"/>
      <c r="C430" s="17"/>
      <c r="D430" s="17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17"/>
      <c r="B431" s="17"/>
      <c r="C431" s="17"/>
      <c r="D431" s="17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17"/>
      <c r="B432" s="17"/>
      <c r="C432" s="17"/>
      <c r="D432" s="17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17"/>
      <c r="B433" s="17"/>
      <c r="C433" s="17"/>
      <c r="D433" s="17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17"/>
      <c r="B434" s="17"/>
      <c r="C434" s="17"/>
      <c r="D434" s="17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17"/>
      <c r="B435" s="17"/>
      <c r="C435" s="17"/>
      <c r="D435" s="17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17"/>
      <c r="B436" s="17"/>
      <c r="C436" s="17"/>
      <c r="D436" s="17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17"/>
      <c r="B437" s="17"/>
      <c r="C437" s="17"/>
      <c r="D437" s="17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17"/>
      <c r="B438" s="17"/>
      <c r="C438" s="17"/>
      <c r="D438" s="17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17"/>
      <c r="B439" s="17"/>
      <c r="C439" s="17"/>
      <c r="D439" s="17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17"/>
      <c r="B440" s="17"/>
      <c r="C440" s="17"/>
      <c r="D440" s="17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17"/>
      <c r="B441" s="17"/>
      <c r="C441" s="17"/>
      <c r="D441" s="17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17"/>
      <c r="B442" s="17"/>
      <c r="C442" s="17"/>
      <c r="D442" s="17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17"/>
      <c r="B443" s="17"/>
      <c r="C443" s="17"/>
      <c r="D443" s="17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17"/>
      <c r="B444" s="17"/>
      <c r="C444" s="17"/>
      <c r="D444" s="17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17"/>
      <c r="B445" s="17"/>
      <c r="C445" s="17"/>
      <c r="D445" s="17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17"/>
      <c r="B446" s="17"/>
      <c r="C446" s="17"/>
      <c r="D446" s="17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17"/>
      <c r="B447" s="17"/>
      <c r="C447" s="17"/>
      <c r="D447" s="17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17"/>
      <c r="B448" s="17"/>
      <c r="C448" s="17"/>
      <c r="D448" s="17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17"/>
      <c r="B449" s="17"/>
      <c r="C449" s="17"/>
      <c r="D449" s="17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17"/>
      <c r="B450" s="17"/>
      <c r="C450" s="17"/>
      <c r="D450" s="17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17"/>
      <c r="B451" s="17"/>
      <c r="C451" s="17"/>
      <c r="D451" s="17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17"/>
      <c r="B452" s="17"/>
      <c r="C452" s="17"/>
      <c r="D452" s="17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17"/>
      <c r="B453" s="17"/>
      <c r="C453" s="17"/>
      <c r="D453" s="17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17"/>
      <c r="B454" s="17"/>
      <c r="C454" s="17"/>
      <c r="D454" s="17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17"/>
      <c r="B455" s="17"/>
      <c r="C455" s="17"/>
      <c r="D455" s="17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17"/>
      <c r="B456" s="17"/>
      <c r="C456" s="17"/>
      <c r="D456" s="17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17"/>
      <c r="B457" s="17"/>
      <c r="C457" s="17"/>
      <c r="D457" s="17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17"/>
      <c r="B458" s="17"/>
      <c r="C458" s="17"/>
      <c r="D458" s="17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17"/>
      <c r="B459" s="17"/>
      <c r="C459" s="17"/>
      <c r="D459" s="17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17"/>
      <c r="B460" s="17"/>
      <c r="C460" s="17"/>
      <c r="D460" s="17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17"/>
      <c r="B461" s="17"/>
      <c r="C461" s="17"/>
      <c r="D461" s="17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17"/>
      <c r="B462" s="17"/>
      <c r="C462" s="17"/>
      <c r="D462" s="17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17"/>
      <c r="B463" s="17"/>
      <c r="C463" s="17"/>
      <c r="D463" s="17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17"/>
      <c r="B464" s="17"/>
      <c r="C464" s="17"/>
      <c r="D464" s="17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17"/>
      <c r="B465" s="17"/>
      <c r="C465" s="17"/>
      <c r="D465" s="17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17"/>
      <c r="B466" s="17"/>
      <c r="C466" s="17"/>
      <c r="D466" s="17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17"/>
      <c r="B467" s="17"/>
      <c r="C467" s="17"/>
      <c r="D467" s="17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17"/>
      <c r="B468" s="17"/>
      <c r="C468" s="17"/>
      <c r="D468" s="17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17"/>
      <c r="B469" s="17"/>
      <c r="C469" s="17"/>
      <c r="D469" s="17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17"/>
      <c r="B470" s="17"/>
      <c r="C470" s="17"/>
      <c r="D470" s="17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17"/>
      <c r="B471" s="17"/>
      <c r="C471" s="17"/>
      <c r="D471" s="17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17"/>
      <c r="B472" s="17"/>
      <c r="C472" s="17"/>
      <c r="D472" s="17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17"/>
      <c r="B473" s="17"/>
      <c r="C473" s="17"/>
      <c r="D473" s="17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17"/>
      <c r="B474" s="17"/>
      <c r="C474" s="17"/>
      <c r="D474" s="17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17"/>
      <c r="B475" s="17"/>
      <c r="C475" s="17"/>
      <c r="D475" s="17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17"/>
      <c r="B476" s="17"/>
      <c r="C476" s="17"/>
      <c r="D476" s="17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17"/>
      <c r="B477" s="17"/>
      <c r="C477" s="17"/>
      <c r="D477" s="17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17"/>
      <c r="B478" s="17"/>
      <c r="C478" s="17"/>
      <c r="D478" s="17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17"/>
      <c r="B479" s="17"/>
      <c r="C479" s="17"/>
      <c r="D479" s="17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17"/>
      <c r="B480" s="17"/>
      <c r="C480" s="17"/>
      <c r="D480" s="17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17"/>
      <c r="B481" s="17"/>
      <c r="C481" s="17"/>
      <c r="D481" s="17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17"/>
      <c r="B482" s="17"/>
      <c r="C482" s="17"/>
      <c r="D482" s="17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17"/>
      <c r="B483" s="17"/>
      <c r="C483" s="17"/>
      <c r="D483" s="17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17"/>
      <c r="B484" s="17"/>
      <c r="C484" s="17"/>
      <c r="D484" s="17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17"/>
      <c r="B485" s="17"/>
      <c r="C485" s="17"/>
      <c r="D485" s="17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17"/>
      <c r="B486" s="17"/>
      <c r="C486" s="17"/>
      <c r="D486" s="17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17"/>
      <c r="B487" s="17"/>
      <c r="C487" s="17"/>
      <c r="D487" s="17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17"/>
      <c r="B488" s="17"/>
      <c r="C488" s="17"/>
      <c r="D488" s="17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17"/>
      <c r="B489" s="17"/>
      <c r="C489" s="17"/>
      <c r="D489" s="17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17"/>
      <c r="B490" s="17"/>
      <c r="C490" s="17"/>
      <c r="D490" s="17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17"/>
      <c r="B491" s="17"/>
      <c r="C491" s="17"/>
      <c r="D491" s="17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17"/>
      <c r="B492" s="17"/>
      <c r="C492" s="17"/>
      <c r="D492" s="17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17"/>
      <c r="B493" s="17"/>
      <c r="C493" s="17"/>
      <c r="D493" s="17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17"/>
      <c r="B494" s="17"/>
      <c r="C494" s="17"/>
      <c r="D494" s="17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17"/>
      <c r="B495" s="17"/>
      <c r="C495" s="17"/>
      <c r="D495" s="17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17"/>
      <c r="B496" s="17"/>
      <c r="C496" s="17"/>
      <c r="D496" s="17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17"/>
      <c r="B497" s="17"/>
      <c r="C497" s="17"/>
      <c r="D497" s="17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17"/>
      <c r="B498" s="17"/>
      <c r="C498" s="17"/>
      <c r="D498" s="17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17"/>
      <c r="B499" s="17"/>
      <c r="C499" s="17"/>
      <c r="D499" s="17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17"/>
      <c r="B500" s="17"/>
      <c r="C500" s="17"/>
      <c r="D500" s="17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17"/>
      <c r="B501" s="17"/>
      <c r="C501" s="17"/>
      <c r="D501" s="17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17"/>
      <c r="B502" s="17"/>
      <c r="C502" s="17"/>
      <c r="D502" s="17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17"/>
      <c r="B503" s="17"/>
      <c r="C503" s="17"/>
      <c r="D503" s="17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17"/>
      <c r="B504" s="17"/>
      <c r="C504" s="17"/>
      <c r="D504" s="17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17"/>
      <c r="B505" s="17"/>
      <c r="C505" s="17"/>
      <c r="D505" s="17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17"/>
      <c r="B506" s="17"/>
      <c r="C506" s="17"/>
      <c r="D506" s="17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17"/>
      <c r="B507" s="17"/>
      <c r="C507" s="17"/>
      <c r="D507" s="17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17"/>
      <c r="B508" s="17"/>
      <c r="C508" s="17"/>
      <c r="D508" s="17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17"/>
      <c r="B509" s="17"/>
      <c r="C509" s="17"/>
      <c r="D509" s="17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17"/>
      <c r="B510" s="17"/>
      <c r="C510" s="17"/>
      <c r="D510" s="17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17"/>
      <c r="B511" s="17"/>
      <c r="C511" s="17"/>
      <c r="D511" s="17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17"/>
      <c r="B512" s="17"/>
      <c r="C512" s="17"/>
      <c r="D512" s="17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17"/>
      <c r="B513" s="17"/>
      <c r="C513" s="17"/>
      <c r="D513" s="17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17"/>
      <c r="B514" s="17"/>
      <c r="C514" s="17"/>
      <c r="D514" s="17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17"/>
      <c r="B515" s="17"/>
      <c r="C515" s="17"/>
      <c r="D515" s="17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17"/>
      <c r="B516" s="17"/>
      <c r="C516" s="17"/>
      <c r="D516" s="17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17"/>
      <c r="B517" s="17"/>
      <c r="C517" s="17"/>
      <c r="D517" s="17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17"/>
      <c r="B518" s="17"/>
      <c r="C518" s="17"/>
      <c r="D518" s="17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17"/>
      <c r="B519" s="17"/>
      <c r="C519" s="17"/>
      <c r="D519" s="17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17"/>
      <c r="B520" s="17"/>
      <c r="C520" s="17"/>
      <c r="D520" s="17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17"/>
      <c r="B521" s="17"/>
      <c r="C521" s="17"/>
      <c r="D521" s="17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17"/>
      <c r="B522" s="17"/>
      <c r="C522" s="17"/>
      <c r="D522" s="17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17"/>
      <c r="B523" s="17"/>
      <c r="C523" s="17"/>
      <c r="D523" s="17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17"/>
      <c r="B524" s="17"/>
      <c r="C524" s="17"/>
      <c r="D524" s="17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17"/>
      <c r="B525" s="17"/>
      <c r="C525" s="17"/>
      <c r="D525" s="17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17"/>
      <c r="B526" s="17"/>
      <c r="C526" s="17"/>
      <c r="D526" s="17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17"/>
      <c r="B527" s="17"/>
      <c r="C527" s="17"/>
      <c r="D527" s="17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17"/>
      <c r="B528" s="17"/>
      <c r="C528" s="17"/>
      <c r="D528" s="17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17"/>
      <c r="B529" s="17"/>
      <c r="C529" s="17"/>
      <c r="D529" s="17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17"/>
      <c r="B530" s="17"/>
      <c r="C530" s="17"/>
      <c r="D530" s="17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17"/>
      <c r="B531" s="17"/>
      <c r="C531" s="17"/>
      <c r="D531" s="17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17"/>
      <c r="B532" s="17"/>
      <c r="C532" s="17"/>
      <c r="D532" s="17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17"/>
      <c r="B533" s="17"/>
      <c r="C533" s="17"/>
      <c r="D533" s="17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17"/>
      <c r="B534" s="17"/>
      <c r="C534" s="17"/>
      <c r="D534" s="17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17"/>
      <c r="B535" s="17"/>
      <c r="C535" s="17"/>
      <c r="D535" s="17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17"/>
      <c r="B536" s="17"/>
      <c r="C536" s="17"/>
      <c r="D536" s="17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17"/>
      <c r="B537" s="17"/>
      <c r="C537" s="17"/>
      <c r="D537" s="17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17"/>
      <c r="B538" s="17"/>
      <c r="C538" s="17"/>
      <c r="D538" s="17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17"/>
      <c r="B539" s="17"/>
      <c r="C539" s="17"/>
      <c r="D539" s="17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17"/>
      <c r="B540" s="17"/>
      <c r="C540" s="17"/>
      <c r="D540" s="17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17"/>
      <c r="B541" s="17"/>
      <c r="C541" s="17"/>
      <c r="D541" s="17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17"/>
      <c r="B542" s="17"/>
      <c r="C542" s="17"/>
      <c r="D542" s="17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17"/>
      <c r="B543" s="17"/>
      <c r="C543" s="17"/>
      <c r="D543" s="17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17"/>
      <c r="B544" s="17"/>
      <c r="C544" s="17"/>
      <c r="D544" s="17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17"/>
      <c r="B545" s="17"/>
      <c r="C545" s="17"/>
      <c r="D545" s="17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17"/>
      <c r="B546" s="17"/>
      <c r="C546" s="17"/>
      <c r="D546" s="17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17"/>
      <c r="B547" s="17"/>
      <c r="C547" s="17"/>
      <c r="D547" s="17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17"/>
      <c r="B548" s="17"/>
      <c r="C548" s="17"/>
      <c r="D548" s="17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17"/>
      <c r="B549" s="17"/>
      <c r="C549" s="17"/>
      <c r="D549" s="17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17"/>
      <c r="B550" s="17"/>
      <c r="C550" s="17"/>
      <c r="D550" s="17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17"/>
      <c r="B551" s="17"/>
      <c r="C551" s="17"/>
      <c r="D551" s="17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17"/>
      <c r="B552" s="17"/>
      <c r="C552" s="17"/>
      <c r="D552" s="17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17"/>
      <c r="B553" s="17"/>
      <c r="C553" s="17"/>
      <c r="D553" s="17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17"/>
      <c r="B554" s="17"/>
      <c r="C554" s="17"/>
      <c r="D554" s="17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17"/>
      <c r="B555" s="17"/>
      <c r="C555" s="17"/>
      <c r="D555" s="17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17"/>
      <c r="B556" s="17"/>
      <c r="C556" s="17"/>
      <c r="D556" s="17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17"/>
      <c r="B557" s="17"/>
      <c r="C557" s="17"/>
      <c r="D557" s="17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17"/>
      <c r="B558" s="17"/>
      <c r="C558" s="17"/>
      <c r="D558" s="17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17"/>
      <c r="B559" s="17"/>
      <c r="C559" s="17"/>
      <c r="D559" s="17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17"/>
      <c r="B560" s="17"/>
      <c r="C560" s="17"/>
      <c r="D560" s="17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17"/>
      <c r="B561" s="17"/>
      <c r="C561" s="17"/>
      <c r="D561" s="17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17"/>
      <c r="B562" s="17"/>
      <c r="C562" s="17"/>
      <c r="D562" s="17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17"/>
      <c r="B563" s="17"/>
      <c r="C563" s="17"/>
      <c r="D563" s="17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17"/>
      <c r="B564" s="17"/>
      <c r="C564" s="17"/>
      <c r="D564" s="17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17"/>
      <c r="B565" s="17"/>
      <c r="C565" s="17"/>
      <c r="D565" s="17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17"/>
      <c r="B566" s="17"/>
      <c r="C566" s="17"/>
      <c r="D566" s="17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17"/>
      <c r="B567" s="17"/>
      <c r="C567" s="17"/>
      <c r="D567" s="17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17"/>
      <c r="B568" s="17"/>
      <c r="C568" s="17"/>
      <c r="D568" s="17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17"/>
      <c r="B569" s="17"/>
      <c r="C569" s="17"/>
      <c r="D569" s="17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17"/>
      <c r="B570" s="17"/>
      <c r="C570" s="17"/>
      <c r="D570" s="17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17"/>
      <c r="B571" s="17"/>
      <c r="C571" s="17"/>
      <c r="D571" s="17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17"/>
      <c r="B572" s="17"/>
      <c r="C572" s="17"/>
      <c r="D572" s="17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17"/>
      <c r="B573" s="17"/>
      <c r="C573" s="17"/>
      <c r="D573" s="17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17"/>
      <c r="B574" s="17"/>
      <c r="C574" s="17"/>
      <c r="D574" s="17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17"/>
      <c r="B575" s="17"/>
      <c r="C575" s="17"/>
      <c r="D575" s="17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17"/>
      <c r="B576" s="17"/>
      <c r="C576" s="17"/>
      <c r="D576" s="17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17"/>
      <c r="B577" s="17"/>
      <c r="C577" s="17"/>
      <c r="D577" s="17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17"/>
      <c r="B578" s="17"/>
      <c r="C578" s="17"/>
      <c r="D578" s="17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17"/>
      <c r="B579" s="17"/>
      <c r="C579" s="17"/>
      <c r="D579" s="17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17"/>
      <c r="B580" s="17"/>
      <c r="C580" s="17"/>
      <c r="D580" s="17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17"/>
      <c r="B581" s="17"/>
      <c r="C581" s="17"/>
      <c r="D581" s="17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17"/>
      <c r="B582" s="17"/>
      <c r="C582" s="17"/>
      <c r="D582" s="17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17"/>
      <c r="B583" s="17"/>
      <c r="C583" s="17"/>
      <c r="D583" s="17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17"/>
      <c r="B584" s="17"/>
      <c r="C584" s="17"/>
      <c r="D584" s="17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17"/>
      <c r="B585" s="17"/>
      <c r="C585" s="17"/>
      <c r="D585" s="17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17"/>
      <c r="B586" s="17"/>
      <c r="C586" s="17"/>
      <c r="D586" s="17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17"/>
      <c r="B587" s="17"/>
      <c r="C587" s="17"/>
      <c r="D587" s="17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17"/>
      <c r="B588" s="17"/>
      <c r="C588" s="17"/>
      <c r="D588" s="17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17"/>
      <c r="B589" s="17"/>
      <c r="C589" s="17"/>
      <c r="D589" s="17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17"/>
      <c r="B590" s="17"/>
      <c r="C590" s="17"/>
      <c r="D590" s="17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17"/>
      <c r="B591" s="17"/>
      <c r="C591" s="17"/>
      <c r="D591" s="17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17"/>
      <c r="B592" s="17"/>
      <c r="C592" s="17"/>
      <c r="D592" s="17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17"/>
      <c r="B593" s="17"/>
      <c r="C593" s="17"/>
      <c r="D593" s="17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17"/>
      <c r="B594" s="17"/>
      <c r="C594" s="17"/>
      <c r="D594" s="17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17"/>
      <c r="B595" s="17"/>
      <c r="C595" s="17"/>
      <c r="D595" s="17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17"/>
      <c r="B596" s="17"/>
      <c r="C596" s="17"/>
      <c r="D596" s="17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17"/>
      <c r="B597" s="17"/>
      <c r="C597" s="17"/>
      <c r="D597" s="17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17"/>
      <c r="B598" s="17"/>
      <c r="C598" s="17"/>
      <c r="D598" s="17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17"/>
      <c r="B599" s="17"/>
      <c r="C599" s="17"/>
      <c r="D599" s="17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17"/>
      <c r="B600" s="17"/>
      <c r="C600" s="17"/>
      <c r="D600" s="17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17"/>
      <c r="B601" s="17"/>
      <c r="C601" s="17"/>
      <c r="D601" s="17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17"/>
      <c r="B602" s="17"/>
      <c r="C602" s="17"/>
      <c r="D602" s="17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17"/>
      <c r="B603" s="17"/>
      <c r="C603" s="17"/>
      <c r="D603" s="17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17"/>
      <c r="B604" s="17"/>
      <c r="C604" s="17"/>
      <c r="D604" s="17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17"/>
      <c r="B605" s="17"/>
      <c r="C605" s="17"/>
      <c r="D605" s="17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17"/>
      <c r="B606" s="17"/>
      <c r="C606" s="17"/>
      <c r="D606" s="17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17"/>
      <c r="B607" s="17"/>
      <c r="C607" s="17"/>
      <c r="D607" s="17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17"/>
      <c r="B608" s="17"/>
      <c r="C608" s="17"/>
      <c r="D608" s="17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17"/>
      <c r="B609" s="17"/>
      <c r="C609" s="17"/>
      <c r="D609" s="17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17"/>
      <c r="B610" s="17"/>
      <c r="C610" s="17"/>
      <c r="D610" s="17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17"/>
      <c r="B611" s="17"/>
      <c r="C611" s="17"/>
      <c r="D611" s="17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17"/>
      <c r="B612" s="17"/>
      <c r="C612" s="17"/>
      <c r="D612" s="17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17"/>
      <c r="B613" s="17"/>
      <c r="C613" s="17"/>
      <c r="D613" s="17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17"/>
      <c r="B614" s="17"/>
      <c r="C614" s="17"/>
      <c r="D614" s="17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17"/>
      <c r="B615" s="17"/>
      <c r="C615" s="17"/>
      <c r="D615" s="17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17"/>
      <c r="B616" s="17"/>
      <c r="C616" s="17"/>
      <c r="D616" s="17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17"/>
      <c r="B617" s="17"/>
      <c r="C617" s="17"/>
      <c r="D617" s="17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17"/>
      <c r="B618" s="17"/>
      <c r="C618" s="17"/>
      <c r="D618" s="17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17"/>
      <c r="B619" s="17"/>
      <c r="C619" s="17"/>
      <c r="D619" s="17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17"/>
      <c r="B620" s="17"/>
      <c r="C620" s="17"/>
      <c r="D620" s="17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17"/>
      <c r="B621" s="17"/>
      <c r="C621" s="17"/>
      <c r="D621" s="17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17"/>
      <c r="B622" s="17"/>
      <c r="C622" s="17"/>
      <c r="D622" s="17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17"/>
      <c r="B623" s="17"/>
      <c r="C623" s="17"/>
      <c r="D623" s="17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17"/>
      <c r="B624" s="17"/>
      <c r="C624" s="17"/>
      <c r="D624" s="17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17"/>
      <c r="B625" s="17"/>
      <c r="C625" s="17"/>
      <c r="D625" s="17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17"/>
      <c r="B626" s="17"/>
      <c r="C626" s="17"/>
      <c r="D626" s="17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17"/>
      <c r="B627" s="17"/>
      <c r="C627" s="17"/>
      <c r="D627" s="17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17"/>
      <c r="B628" s="17"/>
      <c r="C628" s="17"/>
      <c r="D628" s="17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17"/>
      <c r="B629" s="17"/>
      <c r="C629" s="17"/>
      <c r="D629" s="17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17"/>
      <c r="B630" s="17"/>
      <c r="C630" s="17"/>
      <c r="D630" s="17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17"/>
      <c r="B631" s="17"/>
      <c r="C631" s="17"/>
      <c r="D631" s="17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17"/>
      <c r="B632" s="17"/>
      <c r="C632" s="17"/>
      <c r="D632" s="17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17"/>
      <c r="B633" s="17"/>
      <c r="C633" s="17"/>
      <c r="D633" s="17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17"/>
      <c r="B634" s="17"/>
      <c r="C634" s="17"/>
      <c r="D634" s="17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17"/>
      <c r="B635" s="17"/>
      <c r="C635" s="17"/>
      <c r="D635" s="17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17"/>
      <c r="B636" s="17"/>
      <c r="C636" s="17"/>
      <c r="D636" s="17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17"/>
      <c r="B637" s="17"/>
      <c r="C637" s="17"/>
      <c r="D637" s="17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17"/>
      <c r="B638" s="17"/>
      <c r="C638" s="17"/>
      <c r="D638" s="17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17"/>
      <c r="B639" s="17"/>
      <c r="C639" s="17"/>
      <c r="D639" s="17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17"/>
      <c r="B640" s="17"/>
      <c r="C640" s="17"/>
      <c r="D640" s="17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17"/>
      <c r="B641" s="17"/>
      <c r="C641" s="17"/>
      <c r="D641" s="17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17"/>
      <c r="B642" s="17"/>
      <c r="C642" s="17"/>
      <c r="D642" s="17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17"/>
      <c r="B643" s="17"/>
      <c r="C643" s="17"/>
      <c r="D643" s="17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17"/>
      <c r="B644" s="17"/>
      <c r="C644" s="17"/>
      <c r="D644" s="17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17"/>
      <c r="B645" s="17"/>
      <c r="C645" s="17"/>
      <c r="D645" s="17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17"/>
      <c r="B646" s="17"/>
      <c r="C646" s="17"/>
      <c r="D646" s="17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17"/>
      <c r="B647" s="17"/>
      <c r="C647" s="17"/>
      <c r="D647" s="17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17"/>
      <c r="B648" s="17"/>
      <c r="C648" s="17"/>
      <c r="D648" s="17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17"/>
      <c r="B649" s="17"/>
      <c r="C649" s="17"/>
      <c r="D649" s="17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17"/>
      <c r="B650" s="17"/>
      <c r="C650" s="17"/>
      <c r="D650" s="17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17"/>
      <c r="B651" s="17"/>
      <c r="C651" s="17"/>
      <c r="D651" s="17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17"/>
      <c r="B652" s="17"/>
      <c r="C652" s="17"/>
      <c r="D652" s="17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17"/>
      <c r="B653" s="17"/>
      <c r="C653" s="17"/>
      <c r="D653" s="17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17"/>
      <c r="B654" s="17"/>
      <c r="C654" s="17"/>
      <c r="D654" s="17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17"/>
      <c r="B655" s="17"/>
      <c r="C655" s="17"/>
      <c r="D655" s="17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17"/>
      <c r="B656" s="17"/>
      <c r="C656" s="17"/>
      <c r="D656" s="17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17"/>
      <c r="B657" s="17"/>
      <c r="C657" s="17"/>
      <c r="D657" s="17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17"/>
      <c r="B658" s="17"/>
      <c r="C658" s="17"/>
      <c r="D658" s="17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17"/>
      <c r="B659" s="17"/>
      <c r="C659" s="17"/>
      <c r="D659" s="17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17"/>
      <c r="B660" s="17"/>
      <c r="C660" s="17"/>
      <c r="D660" s="17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17"/>
      <c r="B661" s="17"/>
      <c r="C661" s="17"/>
      <c r="D661" s="17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17"/>
      <c r="B662" s="17"/>
      <c r="C662" s="17"/>
      <c r="D662" s="17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17"/>
      <c r="B663" s="17"/>
      <c r="C663" s="17"/>
      <c r="D663" s="17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17"/>
      <c r="B664" s="17"/>
      <c r="C664" s="17"/>
      <c r="D664" s="17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17"/>
      <c r="B665" s="17"/>
      <c r="C665" s="17"/>
      <c r="D665" s="17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17"/>
      <c r="B666" s="17"/>
      <c r="C666" s="17"/>
      <c r="D666" s="17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17"/>
      <c r="B667" s="17"/>
      <c r="C667" s="17"/>
      <c r="D667" s="17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17"/>
      <c r="B668" s="17"/>
      <c r="C668" s="17"/>
      <c r="D668" s="17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17"/>
      <c r="B669" s="17"/>
      <c r="C669" s="17"/>
      <c r="D669" s="17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17"/>
      <c r="B670" s="17"/>
      <c r="C670" s="17"/>
      <c r="D670" s="17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17"/>
      <c r="B671" s="17"/>
      <c r="C671" s="17"/>
      <c r="D671" s="17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17"/>
      <c r="B672" s="17"/>
      <c r="C672" s="17"/>
      <c r="D672" s="17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17"/>
      <c r="B673" s="17"/>
      <c r="C673" s="17"/>
      <c r="D673" s="17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17"/>
      <c r="B674" s="17"/>
      <c r="C674" s="17"/>
      <c r="D674" s="17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17"/>
      <c r="B675" s="17"/>
      <c r="C675" s="17"/>
      <c r="D675" s="17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17"/>
      <c r="B676" s="17"/>
      <c r="C676" s="17"/>
      <c r="D676" s="17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17"/>
      <c r="B677" s="17"/>
      <c r="C677" s="17"/>
      <c r="D677" s="17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17"/>
      <c r="B678" s="17"/>
      <c r="C678" s="17"/>
      <c r="D678" s="17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17"/>
      <c r="B679" s="17"/>
      <c r="C679" s="17"/>
      <c r="D679" s="17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17"/>
      <c r="B680" s="17"/>
      <c r="C680" s="17"/>
      <c r="D680" s="17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17"/>
      <c r="B681" s="17"/>
      <c r="C681" s="17"/>
      <c r="D681" s="17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17"/>
      <c r="B682" s="17"/>
      <c r="C682" s="17"/>
      <c r="D682" s="17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17"/>
      <c r="B683" s="17"/>
      <c r="C683" s="17"/>
      <c r="D683" s="17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17"/>
      <c r="B684" s="17"/>
      <c r="C684" s="17"/>
      <c r="D684" s="17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17"/>
      <c r="B685" s="17"/>
      <c r="C685" s="17"/>
      <c r="D685" s="17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17"/>
      <c r="B686" s="17"/>
      <c r="C686" s="17"/>
      <c r="D686" s="17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17"/>
      <c r="B687" s="17"/>
      <c r="C687" s="17"/>
      <c r="D687" s="17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17"/>
      <c r="B688" s="17"/>
      <c r="C688" s="17"/>
      <c r="D688" s="17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17"/>
      <c r="B689" s="17"/>
      <c r="C689" s="17"/>
      <c r="D689" s="17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17"/>
      <c r="B690" s="17"/>
      <c r="C690" s="17"/>
      <c r="D690" s="17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17"/>
      <c r="B691" s="17"/>
      <c r="C691" s="17"/>
      <c r="D691" s="17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17"/>
      <c r="B692" s="17"/>
      <c r="C692" s="17"/>
      <c r="D692" s="17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17"/>
      <c r="B693" s="17"/>
      <c r="C693" s="17"/>
      <c r="D693" s="17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17"/>
      <c r="B694" s="17"/>
      <c r="C694" s="17"/>
      <c r="D694" s="17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17"/>
      <c r="B695" s="17"/>
      <c r="C695" s="17"/>
      <c r="D695" s="17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17"/>
      <c r="B696" s="17"/>
      <c r="C696" s="17"/>
      <c r="D696" s="17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17"/>
      <c r="B697" s="17"/>
      <c r="C697" s="17"/>
      <c r="D697" s="17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17"/>
      <c r="B698" s="17"/>
      <c r="C698" s="17"/>
      <c r="D698" s="17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17"/>
      <c r="B699" s="17"/>
      <c r="C699" s="17"/>
      <c r="D699" s="17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17"/>
      <c r="B700" s="17"/>
      <c r="C700" s="17"/>
      <c r="D700" s="17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17"/>
      <c r="B701" s="17"/>
      <c r="C701" s="17"/>
      <c r="D701" s="17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17"/>
      <c r="B702" s="17"/>
      <c r="C702" s="17"/>
      <c r="D702" s="17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17"/>
      <c r="B703" s="17"/>
      <c r="C703" s="17"/>
      <c r="D703" s="17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17"/>
      <c r="B704" s="17"/>
      <c r="C704" s="17"/>
      <c r="D704" s="17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17"/>
      <c r="B705" s="17"/>
      <c r="C705" s="17"/>
      <c r="D705" s="17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17"/>
      <c r="B706" s="17"/>
      <c r="C706" s="17"/>
      <c r="D706" s="17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17"/>
      <c r="B707" s="17"/>
      <c r="C707" s="17"/>
      <c r="D707" s="17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17"/>
      <c r="B708" s="17"/>
      <c r="C708" s="17"/>
      <c r="D708" s="17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17"/>
      <c r="B709" s="17"/>
      <c r="C709" s="17"/>
      <c r="D709" s="17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17"/>
      <c r="B710" s="17"/>
      <c r="C710" s="17"/>
      <c r="D710" s="17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17"/>
      <c r="B711" s="17"/>
      <c r="C711" s="17"/>
      <c r="D711" s="17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17"/>
      <c r="B712" s="17"/>
      <c r="C712" s="17"/>
      <c r="D712" s="17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17"/>
      <c r="B713" s="17"/>
      <c r="C713" s="17"/>
      <c r="D713" s="17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17"/>
      <c r="B714" s="17"/>
      <c r="C714" s="17"/>
      <c r="D714" s="17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17"/>
      <c r="B715" s="17"/>
      <c r="C715" s="17"/>
      <c r="D715" s="17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17"/>
      <c r="B716" s="17"/>
      <c r="C716" s="17"/>
      <c r="D716" s="17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17"/>
      <c r="B717" s="17"/>
      <c r="C717" s="17"/>
      <c r="D717" s="17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17"/>
      <c r="B718" s="17"/>
      <c r="C718" s="17"/>
      <c r="D718" s="17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17"/>
      <c r="B719" s="17"/>
      <c r="C719" s="17"/>
      <c r="D719" s="17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17"/>
      <c r="B720" s="17"/>
      <c r="C720" s="17"/>
      <c r="D720" s="17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17"/>
      <c r="B721" s="17"/>
      <c r="C721" s="17"/>
      <c r="D721" s="17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17"/>
      <c r="B722" s="17"/>
      <c r="C722" s="17"/>
      <c r="D722" s="17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17"/>
      <c r="B723" s="17"/>
      <c r="C723" s="17"/>
      <c r="D723" s="17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17"/>
      <c r="B724" s="17"/>
      <c r="C724" s="17"/>
      <c r="D724" s="17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17"/>
      <c r="B725" s="17"/>
      <c r="C725" s="17"/>
      <c r="D725" s="17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17"/>
      <c r="B726" s="17"/>
      <c r="C726" s="17"/>
      <c r="D726" s="17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17"/>
      <c r="B727" s="17"/>
      <c r="C727" s="17"/>
      <c r="D727" s="17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17"/>
      <c r="B728" s="17"/>
      <c r="C728" s="17"/>
      <c r="D728" s="17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17"/>
      <c r="B729" s="17"/>
      <c r="C729" s="17"/>
      <c r="D729" s="17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17"/>
      <c r="B730" s="17"/>
      <c r="C730" s="17"/>
      <c r="D730" s="17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17"/>
      <c r="B731" s="17"/>
      <c r="C731" s="17"/>
      <c r="D731" s="17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17"/>
      <c r="B732" s="17"/>
      <c r="C732" s="17"/>
      <c r="D732" s="17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17"/>
      <c r="B733" s="17"/>
      <c r="C733" s="17"/>
      <c r="D733" s="17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17"/>
      <c r="B734" s="17"/>
      <c r="C734" s="17"/>
      <c r="D734" s="17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17"/>
      <c r="B735" s="17"/>
      <c r="C735" s="17"/>
      <c r="D735" s="17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17"/>
      <c r="B736" s="17"/>
      <c r="C736" s="17"/>
      <c r="D736" s="17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17"/>
      <c r="B737" s="17"/>
      <c r="C737" s="17"/>
      <c r="D737" s="17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17"/>
      <c r="B738" s="17"/>
      <c r="C738" s="17"/>
      <c r="D738" s="17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17"/>
      <c r="B739" s="17"/>
      <c r="C739" s="17"/>
      <c r="D739" s="17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17"/>
      <c r="B740" s="17"/>
      <c r="C740" s="17"/>
      <c r="D740" s="17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17"/>
      <c r="B741" s="17"/>
      <c r="C741" s="17"/>
      <c r="D741" s="17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17"/>
      <c r="B742" s="17"/>
      <c r="C742" s="17"/>
      <c r="D742" s="17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17"/>
      <c r="B743" s="17"/>
      <c r="C743" s="17"/>
      <c r="D743" s="17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17"/>
      <c r="B744" s="17"/>
      <c r="C744" s="17"/>
      <c r="D744" s="17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17"/>
      <c r="B745" s="17"/>
      <c r="C745" s="17"/>
      <c r="D745" s="17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17"/>
      <c r="B746" s="17"/>
      <c r="C746" s="17"/>
      <c r="D746" s="17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17"/>
      <c r="B747" s="17"/>
      <c r="C747" s="17"/>
      <c r="D747" s="17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17"/>
      <c r="B748" s="17"/>
      <c r="C748" s="17"/>
      <c r="D748" s="17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17"/>
      <c r="B749" s="17"/>
      <c r="C749" s="17"/>
      <c r="D749" s="17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17"/>
      <c r="B750" s="17"/>
      <c r="C750" s="17"/>
      <c r="D750" s="17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17"/>
      <c r="B751" s="17"/>
      <c r="C751" s="17"/>
      <c r="D751" s="17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17"/>
      <c r="B752" s="17"/>
      <c r="C752" s="17"/>
      <c r="D752" s="17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17"/>
      <c r="B753" s="17"/>
      <c r="C753" s="17"/>
      <c r="D753" s="17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17"/>
      <c r="B754" s="17"/>
      <c r="C754" s="17"/>
      <c r="D754" s="17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17"/>
      <c r="B755" s="17"/>
      <c r="C755" s="17"/>
      <c r="D755" s="17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17"/>
      <c r="B756" s="17"/>
      <c r="C756" s="17"/>
      <c r="D756" s="17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17"/>
      <c r="B757" s="17"/>
      <c r="C757" s="17"/>
      <c r="D757" s="17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17"/>
      <c r="B758" s="17"/>
      <c r="C758" s="17"/>
      <c r="D758" s="17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17"/>
      <c r="B759" s="17"/>
      <c r="C759" s="17"/>
      <c r="D759" s="17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17"/>
      <c r="B760" s="17"/>
      <c r="C760" s="17"/>
      <c r="D760" s="17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17"/>
      <c r="B761" s="17"/>
      <c r="C761" s="17"/>
      <c r="D761" s="17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17"/>
      <c r="B762" s="17"/>
      <c r="C762" s="17"/>
      <c r="D762" s="17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17"/>
      <c r="B763" s="17"/>
      <c r="C763" s="17"/>
      <c r="D763" s="17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17"/>
      <c r="B764" s="17"/>
      <c r="C764" s="17"/>
      <c r="D764" s="17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17"/>
      <c r="B765" s="17"/>
      <c r="C765" s="17"/>
      <c r="D765" s="17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17"/>
      <c r="B766" s="17"/>
      <c r="C766" s="17"/>
      <c r="D766" s="17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17"/>
      <c r="B767" s="17"/>
      <c r="C767" s="17"/>
      <c r="D767" s="17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17"/>
      <c r="B768" s="17"/>
      <c r="C768" s="17"/>
      <c r="D768" s="17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17"/>
      <c r="B769" s="17"/>
      <c r="C769" s="17"/>
      <c r="D769" s="17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17"/>
      <c r="B770" s="17"/>
      <c r="C770" s="17"/>
      <c r="D770" s="17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17"/>
      <c r="B771" s="17"/>
      <c r="C771" s="17"/>
      <c r="D771" s="17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17"/>
      <c r="B772" s="17"/>
      <c r="C772" s="17"/>
      <c r="D772" s="17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17"/>
      <c r="B773" s="17"/>
      <c r="C773" s="17"/>
      <c r="D773" s="17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17"/>
      <c r="B774" s="17"/>
      <c r="C774" s="17"/>
      <c r="D774" s="17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17"/>
      <c r="B775" s="17"/>
      <c r="C775" s="17"/>
      <c r="D775" s="17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17"/>
      <c r="B776" s="17"/>
      <c r="C776" s="17"/>
      <c r="D776" s="17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17"/>
      <c r="B777" s="17"/>
      <c r="C777" s="17"/>
      <c r="D777" s="17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17"/>
      <c r="B778" s="17"/>
      <c r="C778" s="17"/>
      <c r="D778" s="17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17"/>
      <c r="B779" s="17"/>
      <c r="C779" s="17"/>
      <c r="D779" s="17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17"/>
      <c r="B780" s="17"/>
      <c r="C780" s="17"/>
      <c r="D780" s="17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17"/>
      <c r="B781" s="17"/>
      <c r="C781" s="17"/>
      <c r="D781" s="17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17"/>
      <c r="B782" s="17"/>
      <c r="C782" s="17"/>
      <c r="D782" s="17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17"/>
      <c r="B783" s="17"/>
      <c r="C783" s="17"/>
      <c r="D783" s="17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17"/>
      <c r="B784" s="17"/>
      <c r="C784" s="17"/>
      <c r="D784" s="17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17"/>
      <c r="B785" s="17"/>
      <c r="C785" s="17"/>
      <c r="D785" s="17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17"/>
      <c r="B786" s="17"/>
      <c r="C786" s="17"/>
      <c r="D786" s="17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17"/>
      <c r="B787" s="17"/>
      <c r="C787" s="17"/>
      <c r="D787" s="17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17"/>
      <c r="B788" s="17"/>
      <c r="C788" s="17"/>
      <c r="D788" s="17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17"/>
      <c r="B789" s="17"/>
      <c r="C789" s="17"/>
      <c r="D789" s="17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17"/>
      <c r="B790" s="17"/>
      <c r="C790" s="17"/>
      <c r="D790" s="17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17"/>
      <c r="B791" s="17"/>
      <c r="C791" s="17"/>
      <c r="D791" s="17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17"/>
      <c r="B792" s="17"/>
      <c r="C792" s="17"/>
      <c r="D792" s="17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17"/>
      <c r="B793" s="17"/>
      <c r="C793" s="17"/>
      <c r="D793" s="17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17"/>
      <c r="B794" s="17"/>
      <c r="C794" s="17"/>
      <c r="D794" s="17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17"/>
      <c r="B795" s="17"/>
      <c r="C795" s="17"/>
      <c r="D795" s="17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17"/>
      <c r="B796" s="17"/>
      <c r="C796" s="17"/>
      <c r="D796" s="17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17"/>
      <c r="B797" s="17"/>
      <c r="C797" s="17"/>
      <c r="D797" s="17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17"/>
      <c r="B798" s="17"/>
      <c r="C798" s="17"/>
      <c r="D798" s="17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17"/>
      <c r="B799" s="17"/>
      <c r="C799" s="17"/>
      <c r="D799" s="17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17"/>
      <c r="B800" s="17"/>
      <c r="C800" s="17"/>
      <c r="D800" s="17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17"/>
      <c r="B801" s="17"/>
      <c r="C801" s="17"/>
      <c r="D801" s="17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17"/>
      <c r="B802" s="17"/>
      <c r="C802" s="17"/>
      <c r="D802" s="17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17"/>
      <c r="B803" s="17"/>
      <c r="C803" s="17"/>
      <c r="D803" s="17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17"/>
      <c r="B804" s="17"/>
      <c r="C804" s="17"/>
      <c r="D804" s="17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17"/>
      <c r="B805" s="17"/>
      <c r="C805" s="17"/>
      <c r="D805" s="17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17"/>
      <c r="B806" s="17"/>
      <c r="C806" s="17"/>
      <c r="D806" s="17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17"/>
      <c r="B807" s="17"/>
      <c r="C807" s="17"/>
      <c r="D807" s="17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17"/>
      <c r="B808" s="17"/>
      <c r="C808" s="17"/>
      <c r="D808" s="17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17"/>
      <c r="B809" s="17"/>
      <c r="C809" s="17"/>
      <c r="D809" s="17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17"/>
      <c r="B810" s="17"/>
      <c r="C810" s="17"/>
      <c r="D810" s="17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17"/>
      <c r="B811" s="17"/>
      <c r="C811" s="17"/>
      <c r="D811" s="17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17"/>
      <c r="B812" s="17"/>
      <c r="C812" s="17"/>
      <c r="D812" s="17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17"/>
      <c r="B813" s="17"/>
      <c r="C813" s="17"/>
      <c r="D813" s="17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17"/>
      <c r="B814" s="17"/>
      <c r="C814" s="17"/>
      <c r="D814" s="17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17"/>
      <c r="B815" s="17"/>
      <c r="C815" s="17"/>
      <c r="D815" s="17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17"/>
      <c r="B816" s="17"/>
      <c r="C816" s="17"/>
      <c r="D816" s="17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17"/>
      <c r="B817" s="17"/>
      <c r="C817" s="17"/>
      <c r="D817" s="17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17"/>
      <c r="B818" s="17"/>
      <c r="C818" s="17"/>
      <c r="D818" s="17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17"/>
      <c r="B819" s="17"/>
      <c r="C819" s="17"/>
      <c r="D819" s="17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17"/>
      <c r="B820" s="17"/>
      <c r="C820" s="17"/>
      <c r="D820" s="17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17"/>
      <c r="B821" s="17"/>
      <c r="C821" s="17"/>
      <c r="D821" s="17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17"/>
      <c r="B822" s="17"/>
      <c r="C822" s="17"/>
      <c r="D822" s="17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17"/>
      <c r="B823" s="17"/>
      <c r="C823" s="17"/>
      <c r="D823" s="17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17"/>
      <c r="B824" s="17"/>
      <c r="C824" s="17"/>
      <c r="D824" s="17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17"/>
      <c r="B825" s="17"/>
      <c r="C825" s="17"/>
      <c r="D825" s="17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17"/>
      <c r="B826" s="17"/>
      <c r="C826" s="17"/>
      <c r="D826" s="17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17"/>
      <c r="B827" s="17"/>
      <c r="C827" s="17"/>
      <c r="D827" s="17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17"/>
      <c r="B828" s="17"/>
      <c r="C828" s="17"/>
      <c r="D828" s="17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17"/>
      <c r="B829" s="17"/>
      <c r="C829" s="17"/>
      <c r="D829" s="17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17"/>
      <c r="B830" s="17"/>
      <c r="C830" s="17"/>
      <c r="D830" s="17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17"/>
      <c r="B831" s="17"/>
      <c r="C831" s="17"/>
      <c r="D831" s="17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17"/>
      <c r="B832" s="17"/>
      <c r="C832" s="17"/>
      <c r="D832" s="17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17"/>
      <c r="B833" s="17"/>
      <c r="C833" s="17"/>
      <c r="D833" s="17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17"/>
      <c r="B834" s="17"/>
      <c r="C834" s="17"/>
      <c r="D834" s="17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17"/>
      <c r="B835" s="17"/>
      <c r="C835" s="17"/>
      <c r="D835" s="17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17"/>
      <c r="B836" s="17"/>
      <c r="C836" s="17"/>
      <c r="D836" s="17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17"/>
      <c r="B837" s="17"/>
      <c r="C837" s="17"/>
      <c r="D837" s="17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17"/>
      <c r="B838" s="17"/>
      <c r="C838" s="17"/>
      <c r="D838" s="17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17"/>
      <c r="B839" s="17"/>
      <c r="C839" s="17"/>
      <c r="D839" s="17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17"/>
      <c r="B840" s="17"/>
      <c r="C840" s="17"/>
      <c r="D840" s="17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17"/>
      <c r="B841" s="17"/>
      <c r="C841" s="17"/>
      <c r="D841" s="17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17"/>
      <c r="B842" s="17"/>
      <c r="C842" s="17"/>
      <c r="D842" s="17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17"/>
      <c r="B843" s="17"/>
      <c r="C843" s="17"/>
      <c r="D843" s="17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17"/>
      <c r="B844" s="17"/>
      <c r="C844" s="17"/>
      <c r="D844" s="17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17"/>
      <c r="B845" s="17"/>
      <c r="C845" s="17"/>
      <c r="D845" s="17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17"/>
      <c r="B846" s="17"/>
      <c r="C846" s="17"/>
      <c r="D846" s="17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17"/>
      <c r="B847" s="17"/>
      <c r="C847" s="17"/>
      <c r="D847" s="17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17"/>
      <c r="B848" s="17"/>
      <c r="C848" s="17"/>
      <c r="D848" s="17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17"/>
      <c r="B849" s="17"/>
      <c r="C849" s="17"/>
      <c r="D849" s="17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17"/>
      <c r="B850" s="17"/>
      <c r="C850" s="17"/>
      <c r="D850" s="17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17"/>
      <c r="B851" s="17"/>
      <c r="C851" s="17"/>
      <c r="D851" s="17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17"/>
      <c r="B852" s="17"/>
      <c r="C852" s="17"/>
      <c r="D852" s="17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17"/>
      <c r="B853" s="17"/>
      <c r="C853" s="17"/>
      <c r="D853" s="17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17"/>
      <c r="B854" s="17"/>
      <c r="C854" s="17"/>
      <c r="D854" s="17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17"/>
      <c r="B855" s="17"/>
      <c r="C855" s="17"/>
      <c r="D855" s="17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17"/>
      <c r="B856" s="17"/>
      <c r="C856" s="17"/>
      <c r="D856" s="17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17"/>
      <c r="B857" s="17"/>
      <c r="C857" s="17"/>
      <c r="D857" s="17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17"/>
      <c r="B858" s="17"/>
      <c r="C858" s="17"/>
      <c r="D858" s="17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17"/>
      <c r="B859" s="17"/>
      <c r="C859" s="17"/>
      <c r="D859" s="17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17"/>
      <c r="B860" s="17"/>
      <c r="C860" s="17"/>
      <c r="D860" s="17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17"/>
      <c r="B861" s="17"/>
      <c r="C861" s="17"/>
      <c r="D861" s="17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17"/>
      <c r="B862" s="17"/>
      <c r="C862" s="17"/>
      <c r="D862" s="17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17"/>
      <c r="B863" s="17"/>
      <c r="C863" s="17"/>
      <c r="D863" s="17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17"/>
      <c r="B864" s="17"/>
      <c r="C864" s="17"/>
      <c r="D864" s="17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17"/>
      <c r="B865" s="17"/>
      <c r="C865" s="17"/>
      <c r="D865" s="17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17"/>
      <c r="B866" s="17"/>
      <c r="C866" s="17"/>
      <c r="D866" s="17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17"/>
      <c r="B867" s="17"/>
      <c r="C867" s="17"/>
      <c r="D867" s="17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17"/>
      <c r="B868" s="17"/>
      <c r="C868" s="17"/>
      <c r="D868" s="17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17"/>
      <c r="B869" s="17"/>
      <c r="C869" s="17"/>
      <c r="D869" s="17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17"/>
      <c r="B870" s="17"/>
      <c r="C870" s="17"/>
      <c r="D870" s="17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17"/>
      <c r="B871" s="17"/>
      <c r="C871" s="17"/>
      <c r="D871" s="17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17"/>
      <c r="B872" s="17"/>
      <c r="C872" s="17"/>
      <c r="D872" s="17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17"/>
      <c r="B873" s="17"/>
      <c r="C873" s="17"/>
      <c r="D873" s="17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17"/>
      <c r="B874" s="17"/>
      <c r="C874" s="17"/>
      <c r="D874" s="17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17"/>
      <c r="B875" s="17"/>
      <c r="C875" s="17"/>
      <c r="D875" s="17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17"/>
      <c r="B876" s="17"/>
      <c r="C876" s="17"/>
      <c r="D876" s="17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17"/>
      <c r="B877" s="17"/>
      <c r="C877" s="17"/>
      <c r="D877" s="17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17"/>
      <c r="B878" s="17"/>
      <c r="C878" s="17"/>
      <c r="D878" s="17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17"/>
      <c r="B879" s="17"/>
      <c r="C879" s="17"/>
      <c r="D879" s="17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17"/>
      <c r="B880" s="17"/>
      <c r="C880" s="17"/>
      <c r="D880" s="17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17"/>
      <c r="B881" s="17"/>
      <c r="C881" s="17"/>
      <c r="D881" s="17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17"/>
      <c r="B882" s="17"/>
      <c r="C882" s="17"/>
      <c r="D882" s="17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17"/>
      <c r="B883" s="17"/>
      <c r="C883" s="17"/>
      <c r="D883" s="17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17"/>
      <c r="B884" s="17"/>
      <c r="C884" s="17"/>
      <c r="D884" s="17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17"/>
      <c r="B885" s="17"/>
      <c r="C885" s="17"/>
      <c r="D885" s="17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17"/>
      <c r="B886" s="17"/>
      <c r="C886" s="17"/>
      <c r="D886" s="17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17"/>
      <c r="B887" s="17"/>
      <c r="C887" s="17"/>
      <c r="D887" s="17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17"/>
      <c r="B888" s="17"/>
      <c r="C888" s="17"/>
      <c r="D888" s="17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17"/>
      <c r="B889" s="17"/>
      <c r="C889" s="17"/>
      <c r="D889" s="17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17"/>
      <c r="B890" s="17"/>
      <c r="C890" s="17"/>
      <c r="D890" s="17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17"/>
      <c r="B891" s="17"/>
      <c r="C891" s="17"/>
      <c r="D891" s="17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17"/>
      <c r="B892" s="17"/>
      <c r="C892" s="17"/>
      <c r="D892" s="17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17"/>
      <c r="B893" s="17"/>
      <c r="C893" s="17"/>
      <c r="D893" s="17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17"/>
      <c r="B894" s="17"/>
      <c r="C894" s="17"/>
      <c r="D894" s="17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17"/>
      <c r="B895" s="17"/>
      <c r="C895" s="17"/>
      <c r="D895" s="17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17"/>
      <c r="B896" s="17"/>
      <c r="C896" s="17"/>
      <c r="D896" s="17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17"/>
      <c r="B897" s="17"/>
      <c r="C897" s="17"/>
      <c r="D897" s="17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17"/>
      <c r="B898" s="17"/>
      <c r="C898" s="17"/>
      <c r="D898" s="17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17"/>
      <c r="B899" s="17"/>
      <c r="C899" s="17"/>
      <c r="D899" s="17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17"/>
      <c r="B900" s="17"/>
      <c r="C900" s="17"/>
      <c r="D900" s="17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17"/>
      <c r="B901" s="17"/>
      <c r="C901" s="17"/>
      <c r="D901" s="17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17"/>
      <c r="B902" s="17"/>
      <c r="C902" s="17"/>
      <c r="D902" s="17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17"/>
      <c r="B903" s="17"/>
      <c r="C903" s="17"/>
      <c r="D903" s="17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17"/>
      <c r="B904" s="17"/>
      <c r="C904" s="17"/>
      <c r="D904" s="17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17"/>
      <c r="B905" s="17"/>
      <c r="C905" s="17"/>
      <c r="D905" s="17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17"/>
      <c r="B906" s="17"/>
      <c r="C906" s="17"/>
      <c r="D906" s="17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17"/>
      <c r="B907" s="17"/>
      <c r="C907" s="17"/>
      <c r="D907" s="17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17"/>
      <c r="B908" s="17"/>
      <c r="C908" s="17"/>
      <c r="D908" s="17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17"/>
      <c r="B909" s="17"/>
      <c r="C909" s="17"/>
      <c r="D909" s="17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17"/>
      <c r="B910" s="17"/>
      <c r="C910" s="17"/>
      <c r="D910" s="17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17"/>
      <c r="B911" s="17"/>
      <c r="C911" s="17"/>
      <c r="D911" s="17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17"/>
      <c r="B912" s="17"/>
      <c r="C912" s="17"/>
      <c r="D912" s="17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17"/>
      <c r="B913" s="17"/>
      <c r="C913" s="17"/>
      <c r="D913" s="17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17"/>
      <c r="B914" s="17"/>
      <c r="C914" s="17"/>
      <c r="D914" s="17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17"/>
      <c r="B915" s="17"/>
      <c r="C915" s="17"/>
      <c r="D915" s="17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17"/>
      <c r="B916" s="17"/>
      <c r="C916" s="17"/>
      <c r="D916" s="17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17"/>
      <c r="B917" s="17"/>
      <c r="C917" s="17"/>
      <c r="D917" s="17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17"/>
      <c r="B918" s="17"/>
      <c r="C918" s="17"/>
      <c r="D918" s="17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17"/>
      <c r="B919" s="17"/>
      <c r="C919" s="17"/>
      <c r="D919" s="17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17"/>
      <c r="B920" s="17"/>
      <c r="C920" s="17"/>
      <c r="D920" s="17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17"/>
      <c r="B921" s="17"/>
      <c r="C921" s="17"/>
      <c r="D921" s="17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17"/>
      <c r="B922" s="17"/>
      <c r="C922" s="17"/>
      <c r="D922" s="17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17"/>
      <c r="B923" s="17"/>
      <c r="C923" s="17"/>
      <c r="D923" s="17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17"/>
      <c r="B924" s="17"/>
      <c r="C924" s="17"/>
      <c r="D924" s="17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17"/>
      <c r="B925" s="17"/>
      <c r="C925" s="17"/>
      <c r="D925" s="17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17"/>
      <c r="B926" s="17"/>
      <c r="C926" s="17"/>
      <c r="D926" s="17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17"/>
      <c r="B927" s="17"/>
      <c r="C927" s="17"/>
      <c r="D927" s="17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17"/>
      <c r="B928" s="17"/>
      <c r="C928" s="17"/>
      <c r="D928" s="17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17"/>
      <c r="B929" s="17"/>
      <c r="C929" s="17"/>
      <c r="D929" s="17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17"/>
      <c r="B930" s="17"/>
      <c r="C930" s="17"/>
      <c r="D930" s="17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17"/>
      <c r="B931" s="17"/>
      <c r="C931" s="17"/>
      <c r="D931" s="17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17"/>
      <c r="B932" s="17"/>
      <c r="C932" s="17"/>
      <c r="D932" s="17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17"/>
      <c r="B933" s="17"/>
      <c r="C933" s="17"/>
      <c r="D933" s="17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17"/>
      <c r="B934" s="17"/>
      <c r="C934" s="17"/>
      <c r="D934" s="17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17"/>
      <c r="B935" s="17"/>
      <c r="C935" s="17"/>
      <c r="D935" s="17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17"/>
      <c r="B936" s="17"/>
      <c r="C936" s="17"/>
      <c r="D936" s="17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17"/>
      <c r="B937" s="17"/>
      <c r="C937" s="17"/>
      <c r="D937" s="17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17"/>
      <c r="B938" s="17"/>
      <c r="C938" s="17"/>
      <c r="D938" s="17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17"/>
      <c r="B939" s="17"/>
      <c r="C939" s="17"/>
      <c r="D939" s="17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17"/>
      <c r="B940" s="17"/>
      <c r="C940" s="17"/>
      <c r="D940" s="17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17"/>
      <c r="B941" s="17"/>
      <c r="C941" s="17"/>
      <c r="D941" s="17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17"/>
      <c r="B942" s="17"/>
      <c r="C942" s="17"/>
      <c r="D942" s="17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17"/>
      <c r="B943" s="17"/>
      <c r="C943" s="17"/>
      <c r="D943" s="17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17"/>
      <c r="B944" s="17"/>
      <c r="C944" s="17"/>
      <c r="D944" s="17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17"/>
      <c r="B945" s="17"/>
      <c r="C945" s="17"/>
      <c r="D945" s="17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17"/>
      <c r="B946" s="17"/>
      <c r="C946" s="17"/>
      <c r="D946" s="17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17"/>
      <c r="B947" s="17"/>
      <c r="C947" s="17"/>
      <c r="D947" s="17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17"/>
      <c r="B948" s="17"/>
      <c r="C948" s="17"/>
      <c r="D948" s="17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17"/>
      <c r="B949" s="17"/>
      <c r="C949" s="17"/>
      <c r="D949" s="17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17"/>
      <c r="B950" s="17"/>
      <c r="C950" s="17"/>
      <c r="D950" s="17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17"/>
      <c r="B951" s="17"/>
      <c r="C951" s="17"/>
      <c r="D951" s="17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17"/>
      <c r="B952" s="17"/>
      <c r="C952" s="17"/>
      <c r="D952" s="17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17"/>
      <c r="B953" s="17"/>
      <c r="C953" s="17"/>
      <c r="D953" s="17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17"/>
      <c r="B954" s="17"/>
      <c r="C954" s="17"/>
      <c r="D954" s="17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17"/>
      <c r="B955" s="17"/>
      <c r="C955" s="17"/>
      <c r="D955" s="17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17"/>
      <c r="B956" s="17"/>
      <c r="C956" s="17"/>
      <c r="D956" s="17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17"/>
      <c r="B957" s="17"/>
      <c r="C957" s="17"/>
      <c r="D957" s="17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17"/>
      <c r="B958" s="17"/>
      <c r="C958" s="17"/>
      <c r="D958" s="17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17"/>
      <c r="B959" s="17"/>
      <c r="C959" s="17"/>
      <c r="D959" s="17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17"/>
      <c r="B960" s="17"/>
      <c r="C960" s="17"/>
      <c r="D960" s="17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17"/>
      <c r="B961" s="17"/>
      <c r="C961" s="17"/>
      <c r="D961" s="17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17"/>
      <c r="B962" s="17"/>
      <c r="C962" s="17"/>
      <c r="D962" s="17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17"/>
      <c r="B963" s="17"/>
      <c r="C963" s="17"/>
      <c r="D963" s="17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17"/>
      <c r="B964" s="17"/>
      <c r="C964" s="17"/>
      <c r="D964" s="17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17"/>
      <c r="B965" s="17"/>
      <c r="C965" s="17"/>
      <c r="D965" s="17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17"/>
      <c r="B966" s="17"/>
      <c r="C966" s="17"/>
      <c r="D966" s="17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17"/>
      <c r="B967" s="17"/>
      <c r="C967" s="17"/>
      <c r="D967" s="17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17"/>
      <c r="B968" s="17"/>
      <c r="C968" s="17"/>
      <c r="D968" s="17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17"/>
      <c r="B969" s="17"/>
      <c r="C969" s="17"/>
      <c r="D969" s="17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17"/>
      <c r="B970" s="17"/>
      <c r="C970" s="17"/>
      <c r="D970" s="17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17"/>
      <c r="B971" s="17"/>
      <c r="C971" s="17"/>
      <c r="D971" s="17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17"/>
      <c r="B972" s="17"/>
      <c r="C972" s="17"/>
      <c r="D972" s="17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17"/>
      <c r="B973" s="17"/>
      <c r="C973" s="17"/>
      <c r="D973" s="17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17"/>
      <c r="B974" s="17"/>
      <c r="C974" s="17"/>
      <c r="D974" s="17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17"/>
      <c r="B975" s="17"/>
      <c r="C975" s="17"/>
      <c r="D975" s="17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17"/>
      <c r="B976" s="17"/>
      <c r="C976" s="17"/>
      <c r="D976" s="17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17"/>
      <c r="B977" s="17"/>
      <c r="C977" s="17"/>
      <c r="D977" s="17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17"/>
      <c r="B978" s="17"/>
      <c r="C978" s="17"/>
      <c r="D978" s="17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17"/>
      <c r="B979" s="17"/>
      <c r="C979" s="17"/>
      <c r="D979" s="17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17"/>
      <c r="B980" s="17"/>
      <c r="C980" s="17"/>
      <c r="D980" s="17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17"/>
      <c r="B981" s="17"/>
      <c r="C981" s="17"/>
      <c r="D981" s="17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17"/>
      <c r="B982" s="17"/>
      <c r="C982" s="17"/>
      <c r="D982" s="17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17"/>
      <c r="B983" s="17"/>
      <c r="C983" s="17"/>
      <c r="D983" s="17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17"/>
      <c r="B984" s="17"/>
      <c r="C984" s="17"/>
      <c r="D984" s="17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17"/>
      <c r="B985" s="17"/>
      <c r="C985" s="17"/>
      <c r="D985" s="17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17"/>
      <c r="B986" s="17"/>
      <c r="C986" s="17"/>
      <c r="D986" s="17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17"/>
      <c r="B987" s="17"/>
      <c r="C987" s="17"/>
      <c r="D987" s="17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17"/>
      <c r="B988" s="17"/>
      <c r="C988" s="17"/>
      <c r="D988" s="17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17"/>
      <c r="B989" s="17"/>
      <c r="C989" s="17"/>
      <c r="D989" s="17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17"/>
      <c r="B990" s="17"/>
      <c r="C990" s="17"/>
      <c r="D990" s="17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17"/>
      <c r="B991" s="17"/>
      <c r="C991" s="17"/>
      <c r="D991" s="17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17"/>
      <c r="B992" s="17"/>
      <c r="C992" s="17"/>
      <c r="D992" s="17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17"/>
      <c r="B993" s="17"/>
      <c r="C993" s="17"/>
      <c r="D993" s="17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17"/>
      <c r="B994" s="17"/>
      <c r="C994" s="17"/>
      <c r="D994" s="17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17"/>
      <c r="B995" s="17"/>
      <c r="C995" s="17"/>
      <c r="D995" s="17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17"/>
      <c r="B996" s="17"/>
      <c r="C996" s="17"/>
      <c r="D996" s="17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17"/>
      <c r="B997" s="17"/>
      <c r="C997" s="17"/>
      <c r="D997" s="17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17"/>
      <c r="B998" s="17"/>
      <c r="C998" s="17"/>
      <c r="D998" s="17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17"/>
      <c r="B999" s="17"/>
      <c r="C999" s="17"/>
      <c r="D999" s="17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17"/>
      <c r="B1000" s="17"/>
      <c r="C1000" s="17"/>
      <c r="D1000" s="17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22"/>
    <col customWidth="1" min="2" max="2" width="19.11"/>
    <col customWidth="1" min="3" max="3" width="14.67"/>
    <col customWidth="1" min="4" max="4" width="22.89"/>
    <col customWidth="1" hidden="1" min="5" max="5" width="19.78"/>
    <col customWidth="1" hidden="1" min="6" max="6" width="12.33"/>
    <col customWidth="1" min="7" max="7" width="2.78"/>
    <col customWidth="1" min="8" max="8" width="33.0"/>
    <col customWidth="1" min="9" max="9" width="12.33"/>
    <col customWidth="1" min="10" max="10" width="15.56"/>
    <col customWidth="1" hidden="1" min="11" max="11" width="12.11"/>
    <col customWidth="1" hidden="1" min="12" max="12" width="9.0"/>
    <col customWidth="1" min="13" max="13" width="23.22"/>
    <col customWidth="1" min="14" max="14" width="9.44"/>
    <col customWidth="1" min="15" max="26" width="9.0"/>
  </cols>
  <sheetData>
    <row r="1" ht="14.25" customHeight="1">
      <c r="A1" s="32" t="s">
        <v>38</v>
      </c>
      <c r="B1" s="17"/>
      <c r="C1" s="17"/>
      <c r="D1" s="17"/>
      <c r="E1" s="17"/>
      <c r="F1" s="17"/>
      <c r="G1" s="17"/>
      <c r="H1" s="32" t="s">
        <v>39</v>
      </c>
      <c r="I1" s="17"/>
      <c r="J1" s="17"/>
      <c r="K1" s="33"/>
      <c r="L1" s="33"/>
      <c r="M1" s="33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4.25" customHeight="1">
      <c r="A2" s="35"/>
      <c r="B2" s="36" t="s">
        <v>40</v>
      </c>
      <c r="C2" s="36" t="s">
        <v>41</v>
      </c>
      <c r="D2" s="36" t="s">
        <v>42</v>
      </c>
      <c r="E2" s="37"/>
      <c r="F2" s="38"/>
      <c r="G2" s="38"/>
      <c r="H2" s="38"/>
      <c r="I2" s="38" t="s">
        <v>43</v>
      </c>
      <c r="J2" s="36" t="s">
        <v>44</v>
      </c>
      <c r="K2" s="36" t="s">
        <v>45</v>
      </c>
      <c r="L2" s="39"/>
      <c r="M2" s="36" t="s">
        <v>42</v>
      </c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0" customHeight="1">
      <c r="A3" s="41" t="s">
        <v>46</v>
      </c>
      <c r="B3" s="11">
        <f>'2YR Financials'!B2</f>
        <v>981009.84</v>
      </c>
      <c r="C3" s="42">
        <v>981009.84</v>
      </c>
      <c r="D3" s="42"/>
      <c r="E3" s="11"/>
      <c r="F3" s="11"/>
      <c r="G3" s="11"/>
      <c r="H3" s="11" t="s">
        <v>46</v>
      </c>
      <c r="I3" s="11">
        <f>'2YR Financials'!C2</f>
        <v>1042552.55</v>
      </c>
      <c r="J3" s="42">
        <f>I3</f>
        <v>1042552.55</v>
      </c>
      <c r="K3" s="43"/>
      <c r="L3" s="44"/>
      <c r="M3" s="4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5.0" customHeight="1">
      <c r="A4" s="45"/>
      <c r="B4" s="11">
        <v>0.0</v>
      </c>
      <c r="C4" s="42">
        <v>0.0</v>
      </c>
      <c r="D4" s="42"/>
      <c r="E4" s="11"/>
      <c r="F4" s="11"/>
      <c r="G4" s="11"/>
      <c r="H4" s="11"/>
      <c r="I4" s="11"/>
      <c r="J4" s="42">
        <v>0.0</v>
      </c>
      <c r="K4" s="43"/>
      <c r="L4" s="44"/>
      <c r="M4" s="4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5.0" customHeight="1">
      <c r="A5" s="46" t="s">
        <v>47</v>
      </c>
      <c r="B5" s="47">
        <f>'2YR Financials'!B4</f>
        <v>0</v>
      </c>
      <c r="C5" s="48">
        <v>0.0</v>
      </c>
      <c r="D5" s="42"/>
      <c r="E5" s="11"/>
      <c r="F5" s="11"/>
      <c r="G5" s="11"/>
      <c r="H5" s="11" t="s">
        <v>47</v>
      </c>
      <c r="I5" s="11"/>
      <c r="J5" s="42">
        <v>0.0</v>
      </c>
      <c r="K5" s="43"/>
      <c r="L5" s="44"/>
      <c r="M5" s="4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5.0" customHeight="1">
      <c r="A6" s="46" t="str">
        <f>'2YR Financials'!A5</f>
        <v>COST OF SALES</v>
      </c>
      <c r="B6" s="47">
        <f>'2YR Financials'!B5</f>
        <v>619177.45</v>
      </c>
      <c r="C6" s="48">
        <v>619177.45</v>
      </c>
      <c r="D6" s="42"/>
      <c r="E6" s="11"/>
      <c r="F6" s="11"/>
      <c r="G6" s="11"/>
      <c r="H6" s="11" t="s">
        <v>4</v>
      </c>
      <c r="I6" s="11">
        <f>'2YR Financials'!C5</f>
        <v>687544.96</v>
      </c>
      <c r="J6" s="48">
        <f t="shared" ref="J6:J7" si="1">I6</f>
        <v>687544.96</v>
      </c>
      <c r="K6" s="43"/>
      <c r="L6" s="44"/>
      <c r="M6" s="49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4.25" customHeight="1">
      <c r="A7" s="41" t="str">
        <f>'2YR Financials'!A6</f>
        <v>Gross Profit</v>
      </c>
      <c r="B7" s="11">
        <f>'2YR Financials'!B6</f>
        <v>361832.39</v>
      </c>
      <c r="C7" s="50">
        <v>361832.39</v>
      </c>
      <c r="D7" s="50"/>
      <c r="E7" s="51"/>
      <c r="F7" s="51"/>
      <c r="G7" s="51"/>
      <c r="H7" s="51" t="s">
        <v>5</v>
      </c>
      <c r="I7" s="51">
        <f>'2YR Financials'!C6</f>
        <v>355007.59</v>
      </c>
      <c r="J7" s="42">
        <f t="shared" si="1"/>
        <v>355007.59</v>
      </c>
      <c r="K7" s="43"/>
      <c r="L7" s="44"/>
      <c r="M7" s="4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4.25" customHeight="1">
      <c r="A8" s="10"/>
      <c r="B8" s="11"/>
      <c r="C8" s="42"/>
      <c r="D8" s="42"/>
      <c r="E8" s="11"/>
      <c r="F8" s="11"/>
      <c r="G8" s="11"/>
      <c r="H8" s="11"/>
      <c r="I8" s="11"/>
      <c r="J8" s="42"/>
      <c r="K8" s="43"/>
      <c r="L8" s="44"/>
      <c r="M8" s="4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5.0" customHeight="1">
      <c r="A9" s="46" t="s">
        <v>48</v>
      </c>
      <c r="B9" s="47"/>
      <c r="C9" s="44"/>
      <c r="D9" s="44"/>
      <c r="E9" s="17"/>
      <c r="F9" s="17"/>
      <c r="G9" s="17"/>
      <c r="H9" s="17" t="s">
        <v>48</v>
      </c>
      <c r="I9" s="11"/>
      <c r="J9" s="49"/>
      <c r="K9" s="43"/>
      <c r="L9" s="44"/>
      <c r="M9" s="49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5.0" customHeight="1">
      <c r="A10" s="10" t="str">
        <f>'2YR Financials'!A9</f>
        <v>Salaries and Wages</v>
      </c>
      <c r="B10" s="11">
        <f>'2YR Financials'!B9</f>
        <v>118120.38</v>
      </c>
      <c r="C10" s="50"/>
      <c r="D10" s="50" t="s">
        <v>49</v>
      </c>
      <c r="E10" s="51"/>
      <c r="F10" s="51"/>
      <c r="G10" s="51"/>
      <c r="H10" s="51" t="s">
        <v>7</v>
      </c>
      <c r="I10" s="51">
        <f>'2YR Financials'!C9</f>
        <v>156517.41</v>
      </c>
      <c r="J10" s="42"/>
      <c r="K10" s="43"/>
      <c r="L10" s="44"/>
      <c r="M10" s="44" t="s">
        <v>50</v>
      </c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5.0" customHeight="1">
      <c r="A11" s="10" t="str">
        <f>'2YR Financials'!A10</f>
        <v>Wage Remittances (WCB, EI, CPP)</v>
      </c>
      <c r="B11" s="11">
        <f>'2YR Financials'!B10</f>
        <v>12062.88</v>
      </c>
      <c r="C11" s="42"/>
      <c r="D11" s="42"/>
      <c r="E11" s="11"/>
      <c r="F11" s="11"/>
      <c r="G11" s="11"/>
      <c r="H11" s="11" t="s">
        <v>8</v>
      </c>
      <c r="I11" s="11">
        <f>'2YR Financials'!C10</f>
        <v>14023.25</v>
      </c>
      <c r="J11" s="42"/>
      <c r="K11" s="43"/>
      <c r="L11" s="44"/>
      <c r="M11" s="44"/>
      <c r="N11" s="52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.0" customHeight="1">
      <c r="A12" s="10" t="str">
        <f>'2YR Financials'!A11</f>
        <v>Bonuses Paid</v>
      </c>
      <c r="B12" s="11">
        <f>'2YR Financials'!B11</f>
        <v>25024.32</v>
      </c>
      <c r="C12" s="42"/>
      <c r="D12" s="42"/>
      <c r="E12" s="11"/>
      <c r="F12" s="11"/>
      <c r="G12" s="11"/>
      <c r="H12" s="11" t="s">
        <v>9</v>
      </c>
      <c r="I12" s="11">
        <f>'2YR Financials'!C11</f>
        <v>25603.08</v>
      </c>
      <c r="J12" s="42"/>
      <c r="K12" s="43"/>
      <c r="L12" s="44"/>
      <c r="M12" s="4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5.0" customHeight="1">
      <c r="A13" s="10" t="str">
        <f>'2YR Financials'!A12</f>
        <v>Employee Benefits</v>
      </c>
      <c r="B13" s="11">
        <f>'2YR Financials'!B12</f>
        <v>6407.38</v>
      </c>
      <c r="C13" s="42"/>
      <c r="D13" s="42"/>
      <c r="E13" s="11">
        <f>B13*40%</f>
        <v>2562.952</v>
      </c>
      <c r="F13" s="11"/>
      <c r="G13" s="11"/>
      <c r="H13" s="11" t="s">
        <v>10</v>
      </c>
      <c r="I13" s="11">
        <f>'2YR Financials'!C12</f>
        <v>5942.29</v>
      </c>
      <c r="J13" s="42"/>
      <c r="K13" s="43"/>
      <c r="L13" s="44"/>
      <c r="M13" s="44"/>
      <c r="N13" s="52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5.0" customHeight="1">
      <c r="A14" s="10" t="str">
        <f>'2YR Financials'!A13</f>
        <v>Accounting &amp; Legal</v>
      </c>
      <c r="B14" s="11">
        <f>'2YR Financials'!B13</f>
        <v>1740.62</v>
      </c>
      <c r="C14" s="42"/>
      <c r="D14" s="42"/>
      <c r="E14" s="11"/>
      <c r="F14" s="11"/>
      <c r="G14" s="11"/>
      <c r="H14" s="11" t="s">
        <v>11</v>
      </c>
      <c r="I14" s="11">
        <f>'2YR Financials'!C13</f>
        <v>1710.69</v>
      </c>
      <c r="J14" s="42"/>
      <c r="K14" s="43"/>
      <c r="L14" s="44"/>
      <c r="M14" s="4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5.0" customHeight="1">
      <c r="A15" s="10" t="str">
        <f>'2YR Financials'!A14</f>
        <v>Bookkeeping</v>
      </c>
      <c r="B15" s="11">
        <f>'2YR Financials'!B14</f>
        <v>6960</v>
      </c>
      <c r="C15" s="42"/>
      <c r="D15" s="44"/>
      <c r="E15" s="11"/>
      <c r="F15" s="11"/>
      <c r="G15" s="11"/>
      <c r="H15" s="11" t="s">
        <v>12</v>
      </c>
      <c r="I15" s="11">
        <f>'2YR Financials'!C14</f>
        <v>6900</v>
      </c>
      <c r="J15" s="42"/>
      <c r="K15" s="43"/>
      <c r="L15" s="44"/>
      <c r="M15" s="4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5.0" customHeight="1">
      <c r="A16" s="10" t="str">
        <f>'2YR Financials'!A15</f>
        <v>Advertising &amp; Promotions</v>
      </c>
      <c r="B16" s="11">
        <f>'2YR Financials'!B15</f>
        <v>11309.27</v>
      </c>
      <c r="C16" s="42"/>
      <c r="D16" s="53"/>
      <c r="E16" s="11"/>
      <c r="F16" s="11"/>
      <c r="G16" s="11"/>
      <c r="H16" s="11" t="s">
        <v>13</v>
      </c>
      <c r="I16" s="11">
        <f>'2YR Financials'!C15</f>
        <v>13546.14</v>
      </c>
      <c r="J16" s="42"/>
      <c r="K16" s="43"/>
      <c r="L16" s="44"/>
      <c r="M16" s="4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5.0" customHeight="1">
      <c r="A17" s="10" t="str">
        <f>'2YR Financials'!A16</f>
        <v>Credit Card Fees</v>
      </c>
      <c r="B17" s="11">
        <f>'2YR Financials'!B16</f>
        <v>8004.21</v>
      </c>
      <c r="C17" s="42"/>
      <c r="D17" s="42"/>
      <c r="E17" s="11"/>
      <c r="F17" s="11"/>
      <c r="G17" s="11"/>
      <c r="H17" s="11" t="s">
        <v>14</v>
      </c>
      <c r="I17" s="11">
        <f>'2YR Financials'!C16</f>
        <v>8831.65</v>
      </c>
      <c r="J17" s="42"/>
      <c r="K17" s="54"/>
      <c r="L17" s="44"/>
      <c r="M17" s="4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4.25" customHeight="1">
      <c r="A18" s="10" t="str">
        <f>'2YR Financials'!A17</f>
        <v>Customs/Duty Expense</v>
      </c>
      <c r="B18" s="11">
        <f>'2YR Financials'!B17</f>
        <v>89.69</v>
      </c>
      <c r="C18" s="42"/>
      <c r="D18" s="42"/>
      <c r="E18" s="11"/>
      <c r="F18" s="11"/>
      <c r="G18" s="11"/>
      <c r="H18" s="11" t="s">
        <v>15</v>
      </c>
      <c r="I18" s="11">
        <f>'2YR Financials'!C17</f>
        <v>0</v>
      </c>
      <c r="J18" s="42"/>
      <c r="K18" s="43"/>
      <c r="L18" s="44"/>
      <c r="M18" s="4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5.0" customHeight="1">
      <c r="A19" s="10" t="str">
        <f>'2YR Financials'!A18</f>
        <v>Donations</v>
      </c>
      <c r="B19" s="11">
        <f>'2YR Financials'!B18</f>
        <v>4610.7</v>
      </c>
      <c r="C19" s="42"/>
      <c r="D19" s="42"/>
      <c r="E19" s="11"/>
      <c r="F19" s="11"/>
      <c r="G19" s="11"/>
      <c r="H19" s="11" t="s">
        <v>16</v>
      </c>
      <c r="I19" s="11">
        <f>'2YR Financials'!C18</f>
        <v>3827.41</v>
      </c>
      <c r="J19" s="42"/>
      <c r="K19" s="43"/>
      <c r="L19" s="44"/>
      <c r="M19" s="4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4.25" customHeight="1">
      <c r="A20" s="10" t="str">
        <f>'2YR Financials'!A19</f>
        <v>Grooming</v>
      </c>
      <c r="B20" s="11">
        <f>'2YR Financials'!B19</f>
        <v>130</v>
      </c>
      <c r="C20" s="42"/>
      <c r="D20" s="42"/>
      <c r="E20" s="11"/>
      <c r="F20" s="11"/>
      <c r="G20" s="11"/>
      <c r="H20" s="11" t="s">
        <v>17</v>
      </c>
      <c r="I20" s="11">
        <f>'2YR Financials'!C19</f>
        <v>689.04</v>
      </c>
      <c r="J20" s="42"/>
      <c r="K20" s="43"/>
      <c r="L20" s="44"/>
      <c r="M20" s="4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0" customHeight="1">
      <c r="A21" s="10" t="str">
        <f>'2YR Financials'!A20</f>
        <v>Insurance</v>
      </c>
      <c r="B21" s="11">
        <f>'2YR Financials'!B20</f>
        <v>2220.5</v>
      </c>
      <c r="C21" s="42"/>
      <c r="D21" s="42"/>
      <c r="E21" s="11"/>
      <c r="F21" s="11"/>
      <c r="G21" s="11"/>
      <c r="H21" s="11" t="s">
        <v>18</v>
      </c>
      <c r="I21" s="11">
        <f>'2YR Financials'!C20</f>
        <v>3173</v>
      </c>
      <c r="J21" s="42"/>
      <c r="K21" s="43"/>
      <c r="L21" s="44"/>
      <c r="M21" s="4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0" customHeight="1">
      <c r="A22" s="10" t="str">
        <f>'2YR Financials'!A21</f>
        <v>Interest &amp; Bank Charges</v>
      </c>
      <c r="B22" s="11">
        <f>'2YR Financials'!B21</f>
        <v>1746.04</v>
      </c>
      <c r="C22" s="42"/>
      <c r="D22" s="42"/>
      <c r="E22" s="11"/>
      <c r="F22" s="11"/>
      <c r="G22" s="11"/>
      <c r="H22" s="11" t="s">
        <v>19</v>
      </c>
      <c r="I22" s="11">
        <f>'2YR Financials'!C21</f>
        <v>1718.64</v>
      </c>
      <c r="J22" s="42"/>
      <c r="K22" s="43"/>
      <c r="L22" s="44"/>
      <c r="M22" s="4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0" customHeight="1">
      <c r="A23" s="10" t="str">
        <f>'2YR Financials'!A22</f>
        <v>Interest on LTD</v>
      </c>
      <c r="B23" s="11">
        <f>'2YR Financials'!B22</f>
        <v>11391.89</v>
      </c>
      <c r="C23" s="42"/>
      <c r="D23" s="42"/>
      <c r="E23" s="11"/>
      <c r="F23" s="11"/>
      <c r="G23" s="11"/>
      <c r="H23" s="11" t="s">
        <v>20</v>
      </c>
      <c r="I23" s="11">
        <f>'2YR Financials'!C22</f>
        <v>15762.81</v>
      </c>
      <c r="J23" s="42"/>
      <c r="K23" s="43"/>
      <c r="L23" s="44"/>
      <c r="M23" s="4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0" customHeight="1">
      <c r="A24" s="10" t="str">
        <f>'2YR Financials'!A23</f>
        <v>Janitorial &amp; Cleaning</v>
      </c>
      <c r="B24" s="11">
        <f>'2YR Financials'!B23</f>
        <v>3415.32</v>
      </c>
      <c r="C24" s="42"/>
      <c r="D24" s="42"/>
      <c r="E24" s="11"/>
      <c r="F24" s="11"/>
      <c r="G24" s="11"/>
      <c r="H24" s="11" t="s">
        <v>21</v>
      </c>
      <c r="I24" s="11">
        <f>'2YR Financials'!C23</f>
        <v>2658.48</v>
      </c>
      <c r="J24" s="42"/>
      <c r="K24" s="43"/>
      <c r="L24" s="44"/>
      <c r="M24" s="4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4.25" customHeight="1">
      <c r="A25" s="10" t="str">
        <f>'2YR Financials'!A24</f>
        <v>Meals &amp; Entertainment</v>
      </c>
      <c r="B25" s="11">
        <f>'2YR Financials'!B24</f>
        <v>2192.73</v>
      </c>
      <c r="C25" s="42"/>
      <c r="D25" s="42"/>
      <c r="E25" s="11"/>
      <c r="F25" s="11"/>
      <c r="G25" s="11"/>
      <c r="H25" s="11" t="s">
        <v>22</v>
      </c>
      <c r="I25" s="11">
        <f>'2YR Financials'!C24</f>
        <v>2490.88</v>
      </c>
      <c r="J25" s="42"/>
      <c r="K25" s="43"/>
      <c r="L25" s="44"/>
      <c r="M25" s="4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0" customHeight="1">
      <c r="A26" s="10" t="str">
        <f>'2YR Financials'!A25</f>
        <v>Memberships, Dues &amp; Fees</v>
      </c>
      <c r="B26" s="11">
        <f>'2YR Financials'!B25</f>
        <v>1289.32</v>
      </c>
      <c r="C26" s="42"/>
      <c r="D26" s="42"/>
      <c r="E26" s="11"/>
      <c r="F26" s="11"/>
      <c r="G26" s="11"/>
      <c r="H26" s="11" t="s">
        <v>23</v>
      </c>
      <c r="I26" s="11">
        <f>'2YR Financials'!C25</f>
        <v>2959.9</v>
      </c>
      <c r="J26" s="42"/>
      <c r="K26" s="43"/>
      <c r="L26" s="44"/>
      <c r="M26" s="4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4.25" customHeight="1">
      <c r="A27" s="10" t="str">
        <f>'2YR Financials'!A26</f>
        <v>Office Supplies</v>
      </c>
      <c r="B27" s="11">
        <f>'2YR Financials'!B26</f>
        <v>2821.68</v>
      </c>
      <c r="C27" s="42"/>
      <c r="D27" s="42"/>
      <c r="E27" s="11"/>
      <c r="F27" s="11"/>
      <c r="G27" s="11"/>
      <c r="H27" s="11" t="s">
        <v>24</v>
      </c>
      <c r="I27" s="11">
        <f>'2YR Financials'!C26</f>
        <v>1720.7</v>
      </c>
      <c r="J27" s="42"/>
      <c r="K27" s="43"/>
      <c r="L27" s="44"/>
      <c r="M27" s="4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5.0" customHeight="1">
      <c r="A28" s="10" t="str">
        <f>'2YR Financials'!A27</f>
        <v>Rent</v>
      </c>
      <c r="B28" s="11">
        <f>'2YR Financials'!B27</f>
        <v>96933.75</v>
      </c>
      <c r="C28" s="42"/>
      <c r="D28" s="42"/>
      <c r="E28" s="11"/>
      <c r="F28" s="11"/>
      <c r="G28" s="11"/>
      <c r="H28" s="11" t="s">
        <v>25</v>
      </c>
      <c r="I28" s="11">
        <f>'2YR Financials'!C27</f>
        <v>96359.48</v>
      </c>
      <c r="J28" s="42"/>
      <c r="K28" s="43"/>
      <c r="L28" s="44"/>
      <c r="M28" s="4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0" customHeight="1">
      <c r="A29" s="10" t="str">
        <f>'2YR Financials'!A28</f>
        <v>Repair &amp; Maintenance</v>
      </c>
      <c r="B29" s="11">
        <f>'2YR Financials'!B28</f>
        <v>616.98</v>
      </c>
      <c r="C29" s="42"/>
      <c r="D29" s="42"/>
      <c r="E29" s="11"/>
      <c r="F29" s="11"/>
      <c r="G29" s="11"/>
      <c r="H29" s="11" t="s">
        <v>26</v>
      </c>
      <c r="I29" s="11">
        <f>'2YR Financials'!C28</f>
        <v>882.7</v>
      </c>
      <c r="J29" s="42"/>
      <c r="K29" s="43"/>
      <c r="L29" s="44"/>
      <c r="M29" s="4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0" customHeight="1">
      <c r="A30" s="10" t="str">
        <f>'2YR Financials'!A29</f>
        <v>Royalties</v>
      </c>
      <c r="B30" s="11">
        <f>'2YR Financials'!B29</f>
        <v>54659.15</v>
      </c>
      <c r="C30" s="42"/>
      <c r="D30" s="42"/>
      <c r="E30" s="11"/>
      <c r="F30" s="11"/>
      <c r="G30" s="11"/>
      <c r="H30" s="11" t="s">
        <v>27</v>
      </c>
      <c r="I30" s="11">
        <f>'2YR Financials'!C29</f>
        <v>58444.66</v>
      </c>
      <c r="J30" s="42"/>
      <c r="K30" s="43"/>
      <c r="L30" s="44"/>
      <c r="M30" s="4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0" customHeight="1">
      <c r="A31" s="10" t="str">
        <f>'2YR Financials'!A30</f>
        <v>Security</v>
      </c>
      <c r="B31" s="11">
        <f>'2YR Financials'!B30</f>
        <v>740.62</v>
      </c>
      <c r="C31" s="42"/>
      <c r="D31" s="42"/>
      <c r="E31" s="11"/>
      <c r="F31" s="11"/>
      <c r="G31" s="11"/>
      <c r="H31" s="11" t="s">
        <v>28</v>
      </c>
      <c r="I31" s="11">
        <f>'2YR Financials'!C30</f>
        <v>650.63</v>
      </c>
      <c r="J31" s="42"/>
      <c r="K31" s="43"/>
      <c r="L31" s="44"/>
      <c r="M31" s="4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0" customHeight="1">
      <c r="A32" s="10" t="str">
        <f>'2YR Financials'!A31</f>
        <v>Supplies &amp; Small Tools</v>
      </c>
      <c r="B32" s="11">
        <f>'2YR Financials'!B31</f>
        <v>1213.98</v>
      </c>
      <c r="C32" s="42"/>
      <c r="D32" s="42"/>
      <c r="E32" s="11"/>
      <c r="F32" s="11"/>
      <c r="G32" s="11"/>
      <c r="H32" s="11" t="s">
        <v>29</v>
      </c>
      <c r="I32" s="11">
        <f>'2YR Financials'!C31</f>
        <v>2376.29</v>
      </c>
      <c r="J32" s="42"/>
      <c r="K32" s="43"/>
      <c r="L32" s="44"/>
      <c r="M32" s="4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0" customHeight="1">
      <c r="A33" s="10" t="str">
        <f>'2YR Financials'!A32</f>
        <v>Telephone</v>
      </c>
      <c r="B33" s="11">
        <f>'2YR Financials'!B32</f>
        <v>2812.66</v>
      </c>
      <c r="C33" s="42"/>
      <c r="D33" s="42"/>
      <c r="E33" s="11"/>
      <c r="F33" s="11"/>
      <c r="G33" s="11"/>
      <c r="H33" s="11" t="s">
        <v>30</v>
      </c>
      <c r="I33" s="11">
        <f>'2YR Financials'!C32</f>
        <v>2987.99</v>
      </c>
      <c r="J33" s="42"/>
      <c r="K33" s="43"/>
      <c r="L33" s="44"/>
      <c r="M33" s="4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0" customHeight="1">
      <c r="A34" s="10" t="str">
        <f>'2YR Financials'!A33</f>
        <v>Travel</v>
      </c>
      <c r="B34" s="11">
        <f>'2YR Financials'!B33</f>
        <v>48.57</v>
      </c>
      <c r="C34" s="42"/>
      <c r="D34" s="42"/>
      <c r="E34" s="11"/>
      <c r="F34" s="11"/>
      <c r="G34" s="11"/>
      <c r="H34" s="11" t="s">
        <v>31</v>
      </c>
      <c r="I34" s="11">
        <f>'2YR Financials'!C33</f>
        <v>0</v>
      </c>
      <c r="J34" s="42"/>
      <c r="K34" s="43"/>
      <c r="L34" s="44"/>
      <c r="M34" s="4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0" customHeight="1">
      <c r="A35" s="10" t="str">
        <f>'2YR Financials'!A34</f>
        <v>Utilities</v>
      </c>
      <c r="B35" s="11">
        <f>'2YR Financials'!B34</f>
        <v>9782.08</v>
      </c>
      <c r="C35" s="42"/>
      <c r="D35" s="42"/>
      <c r="E35" s="11"/>
      <c r="F35" s="11"/>
      <c r="G35" s="11"/>
      <c r="H35" s="11" t="s">
        <v>32</v>
      </c>
      <c r="I35" s="11">
        <f>'2YR Financials'!C34</f>
        <v>11148.2</v>
      </c>
      <c r="J35" s="42"/>
      <c r="K35" s="43"/>
      <c r="L35" s="44"/>
      <c r="M35" s="4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0" customHeight="1">
      <c r="A36" s="10" t="str">
        <f>'2YR Financials'!A35</f>
        <v>Vehicle</v>
      </c>
      <c r="B36" s="11">
        <f>'2YR Financials'!B35</f>
        <v>6480.02</v>
      </c>
      <c r="C36" s="42"/>
      <c r="D36" s="42"/>
      <c r="E36" s="11"/>
      <c r="F36" s="11"/>
      <c r="G36" s="11"/>
      <c r="H36" s="11" t="s">
        <v>33</v>
      </c>
      <c r="I36" s="11">
        <f>'2YR Financials'!C35</f>
        <v>6656.27</v>
      </c>
      <c r="J36" s="42"/>
      <c r="K36" s="43"/>
      <c r="L36" s="44"/>
      <c r="M36" s="4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0" customHeight="1">
      <c r="A37" s="10" t="s">
        <v>51</v>
      </c>
      <c r="B37" s="11">
        <v>0.0</v>
      </c>
      <c r="C37" s="42"/>
      <c r="D37" s="42"/>
      <c r="E37" s="11"/>
      <c r="F37" s="11"/>
      <c r="G37" s="11"/>
      <c r="H37" s="11" t="s">
        <v>51</v>
      </c>
      <c r="I37" s="11">
        <v>0.0</v>
      </c>
      <c r="J37" s="42"/>
      <c r="K37" s="43"/>
      <c r="L37" s="44"/>
      <c r="M37" s="4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0" customHeight="1">
      <c r="A38" s="10"/>
      <c r="B38" s="11"/>
      <c r="C38" s="42"/>
      <c r="D38" s="42"/>
      <c r="E38" s="11"/>
      <c r="F38" s="11"/>
      <c r="G38" s="11"/>
      <c r="H38" s="11"/>
      <c r="I38" s="11"/>
      <c r="J38" s="42"/>
      <c r="K38" s="43"/>
      <c r="L38" s="44"/>
      <c r="M38" s="4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4.25" customHeight="1">
      <c r="A39" s="55" t="s">
        <v>52</v>
      </c>
      <c r="B39" s="51">
        <f>SUM(B10:B36)</f>
        <v>392824.74</v>
      </c>
      <c r="C39" s="50">
        <f>SUM(C10:C37)</f>
        <v>0</v>
      </c>
      <c r="D39" s="42"/>
      <c r="E39" s="51"/>
      <c r="F39" s="51"/>
      <c r="G39" s="11"/>
      <c r="H39" s="51" t="s">
        <v>52</v>
      </c>
      <c r="I39" s="51">
        <f>'2YR Financials'!C36</f>
        <v>447581.59</v>
      </c>
      <c r="J39" s="56"/>
      <c r="K39" s="44"/>
      <c r="L39" s="57"/>
      <c r="M39" s="57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4.25" customHeight="1">
      <c r="A40" s="55" t="s">
        <v>35</v>
      </c>
      <c r="B40" s="58">
        <f t="shared" ref="B40:C40" si="2">B6</f>
        <v>619177.45</v>
      </c>
      <c r="C40" s="56">
        <f t="shared" si="2"/>
        <v>619177.45</v>
      </c>
      <c r="D40" s="42"/>
      <c r="E40" s="58"/>
      <c r="F40" s="58"/>
      <c r="G40" s="11"/>
      <c r="H40" s="58" t="s">
        <v>35</v>
      </c>
      <c r="I40" s="58">
        <f>I6</f>
        <v>687544.96</v>
      </c>
      <c r="J40" s="42"/>
      <c r="K40" s="44"/>
      <c r="L40" s="57"/>
      <c r="M40" s="57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4.25" customHeight="1">
      <c r="A41" s="55" t="s">
        <v>53</v>
      </c>
      <c r="B41" s="59">
        <f>'2YR Financials'!B38</f>
        <v>-30992.35</v>
      </c>
      <c r="C41" s="60">
        <f>SUM(B7-C39)</f>
        <v>361832.39</v>
      </c>
      <c r="D41" s="42"/>
      <c r="E41" s="58"/>
      <c r="F41" s="58"/>
      <c r="G41" s="11"/>
      <c r="H41" s="58" t="s">
        <v>53</v>
      </c>
      <c r="I41" s="61">
        <f>'2YR Financials'!C38</f>
        <v>-92574</v>
      </c>
      <c r="J41" s="62"/>
      <c r="K41" s="44"/>
      <c r="L41" s="57"/>
      <c r="M41" s="57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4.25" customHeight="1">
      <c r="A42" s="63"/>
      <c r="B42" s="63"/>
      <c r="C42" s="63"/>
      <c r="D42" s="63"/>
      <c r="E42" s="63"/>
      <c r="F42" s="63"/>
      <c r="G42" s="63"/>
      <c r="H42" s="63"/>
      <c r="I42" s="17"/>
      <c r="J42" s="17"/>
      <c r="K42" s="33"/>
      <c r="L42" s="33"/>
      <c r="M42" s="33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4.25" customHeight="1">
      <c r="A43" s="64" t="s">
        <v>54</v>
      </c>
      <c r="B43" s="65" t="s">
        <v>55</v>
      </c>
      <c r="C43" s="66">
        <v>2.44</v>
      </c>
      <c r="D43" s="66">
        <v>2.94</v>
      </c>
      <c r="E43" s="65"/>
      <c r="F43" s="17"/>
      <c r="G43" s="17"/>
      <c r="H43" s="17"/>
      <c r="I43" s="33"/>
      <c r="J43" s="33"/>
      <c r="K43" s="33"/>
      <c r="L43" s="33"/>
      <c r="M43" s="33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4.25" customHeight="1">
      <c r="A44" s="67" t="s">
        <v>56</v>
      </c>
      <c r="B44" s="68">
        <f>C41</f>
        <v>361832.39</v>
      </c>
      <c r="C44" s="69">
        <f>B44*2.44</f>
        <v>882871.0316</v>
      </c>
      <c r="D44" s="70">
        <f>B44*2.94</f>
        <v>1063787.227</v>
      </c>
      <c r="E44" s="71"/>
      <c r="F44" s="17"/>
      <c r="G44" s="17"/>
      <c r="H44" s="17"/>
      <c r="I44" s="33"/>
      <c r="J44" s="33"/>
      <c r="K44" s="33"/>
      <c r="L44" s="33"/>
      <c r="M44" s="33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4.25" customHeight="1">
      <c r="A45" s="67"/>
      <c r="B45" s="72"/>
      <c r="C45" s="71"/>
      <c r="D45" s="73"/>
      <c r="E45" s="71"/>
      <c r="F45" s="17"/>
      <c r="G45" s="17"/>
      <c r="H45" s="17"/>
      <c r="I45" s="33"/>
      <c r="J45" s="33"/>
      <c r="K45" s="33"/>
      <c r="L45" s="33"/>
      <c r="M45" s="33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4.25" customHeight="1">
      <c r="A46" s="63" t="s">
        <v>57</v>
      </c>
      <c r="B46" s="74">
        <v>86000.0</v>
      </c>
      <c r="C46" s="71">
        <f>B46</f>
        <v>86000</v>
      </c>
      <c r="D46" s="73">
        <v>86000.0</v>
      </c>
      <c r="E46" s="71"/>
      <c r="F46" s="17"/>
      <c r="G46" s="17"/>
      <c r="H46" s="17"/>
      <c r="I46" s="33"/>
      <c r="J46" s="33"/>
      <c r="K46" s="33"/>
      <c r="L46" s="33"/>
      <c r="M46" s="33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4.25" customHeight="1">
      <c r="A47" s="63" t="s">
        <v>58</v>
      </c>
      <c r="B47" s="74">
        <v>15000.0</v>
      </c>
      <c r="C47" s="71">
        <v>15000.0</v>
      </c>
      <c r="D47" s="73">
        <v>15000.0</v>
      </c>
      <c r="E47" s="71" t="s">
        <v>59</v>
      </c>
      <c r="F47" s="17"/>
      <c r="G47" s="17"/>
      <c r="H47" s="17" t="s">
        <v>60</v>
      </c>
      <c r="I47" s="33"/>
      <c r="J47" s="33"/>
      <c r="K47" s="33"/>
      <c r="L47" s="33"/>
      <c r="M47" s="33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4.25" customHeight="1">
      <c r="A48" s="63" t="s">
        <v>61</v>
      </c>
      <c r="B48" s="74"/>
      <c r="C48" s="71"/>
      <c r="D48" s="73"/>
      <c r="E48" s="71"/>
      <c r="F48" s="17"/>
      <c r="G48" s="17"/>
      <c r="H48" s="17"/>
      <c r="I48" s="33"/>
      <c r="J48" s="33"/>
      <c r="K48" s="33"/>
      <c r="L48" s="33"/>
      <c r="M48" s="33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4.25" customHeight="1">
      <c r="A49" s="75" t="s">
        <v>62</v>
      </c>
      <c r="B49" s="76"/>
      <c r="C49" s="77">
        <f t="shared" ref="C49:D49" si="3">SUM(C44:C48)</f>
        <v>983871.0316</v>
      </c>
      <c r="D49" s="78">
        <f t="shared" si="3"/>
        <v>1164787.227</v>
      </c>
      <c r="E49" s="79"/>
      <c r="F49" s="17"/>
      <c r="G49" s="17"/>
      <c r="H49" s="17"/>
      <c r="I49" s="33"/>
      <c r="J49" s="33"/>
      <c r="K49" s="33"/>
      <c r="L49" s="33"/>
      <c r="M49" s="33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4.25" customHeight="1">
      <c r="A50" s="80"/>
      <c r="B50" s="81"/>
      <c r="C50" s="82"/>
      <c r="D50" s="82"/>
      <c r="E50" s="82"/>
      <c r="F50" s="82"/>
      <c r="G50" s="82"/>
      <c r="H50" s="82"/>
      <c r="I50" s="83"/>
      <c r="J50" s="17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4.25" customHeight="1">
      <c r="A51" s="84" t="s">
        <v>54</v>
      </c>
      <c r="B51" s="85" t="s">
        <v>55</v>
      </c>
      <c r="C51" s="86"/>
      <c r="D51" s="85" t="s">
        <v>63</v>
      </c>
      <c r="E51" s="85"/>
      <c r="F51" s="83"/>
      <c r="G51" s="17"/>
      <c r="H51" s="17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4.25" customHeight="1">
      <c r="A52" s="87" t="s">
        <v>55</v>
      </c>
      <c r="B52" s="88">
        <f>B44</f>
        <v>361832.39</v>
      </c>
      <c r="C52" s="89" t="s">
        <v>64</v>
      </c>
      <c r="D52" s="90">
        <f>B52*2.94</f>
        <v>1063787.227</v>
      </c>
      <c r="E52" s="82"/>
      <c r="F52" s="83"/>
      <c r="G52" s="17"/>
      <c r="H52" s="17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4.25" customHeight="1">
      <c r="A53" s="87"/>
      <c r="B53" s="91"/>
      <c r="C53" s="82"/>
      <c r="D53" s="92"/>
      <c r="E53" s="82"/>
      <c r="F53" s="83"/>
      <c r="G53" s="17"/>
      <c r="H53" s="17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4.25" customHeight="1">
      <c r="A54" s="80" t="s">
        <v>61</v>
      </c>
      <c r="B54" s="81">
        <v>0.0</v>
      </c>
      <c r="C54" s="82"/>
      <c r="D54" s="92">
        <v>0.0</v>
      </c>
      <c r="E54" s="82"/>
      <c r="F54" s="83"/>
      <c r="G54" s="17"/>
      <c r="H54" s="17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4.25" customHeight="1">
      <c r="A55" s="80" t="s">
        <v>65</v>
      </c>
      <c r="B55" s="81">
        <v>86000.0</v>
      </c>
      <c r="C55" s="82"/>
      <c r="D55" s="92">
        <v>86000.0</v>
      </c>
      <c r="E55" s="82" t="s">
        <v>59</v>
      </c>
      <c r="F55" s="83"/>
      <c r="G55" s="17"/>
      <c r="H55" s="17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4.25" customHeight="1">
      <c r="A56" s="80" t="s">
        <v>66</v>
      </c>
      <c r="B56" s="81">
        <v>15000.0</v>
      </c>
      <c r="C56" s="82"/>
      <c r="D56" s="92">
        <v>15000.0</v>
      </c>
      <c r="E56" s="82"/>
      <c r="F56" s="83"/>
      <c r="G56" s="17"/>
      <c r="H56" s="17" t="s">
        <v>67</v>
      </c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4.25" customHeight="1">
      <c r="A57" s="93" t="s">
        <v>68</v>
      </c>
      <c r="B57" s="94">
        <f>SUM(B52:B56)</f>
        <v>462832.39</v>
      </c>
      <c r="C57" s="95"/>
      <c r="D57" s="94">
        <f>SUM(D52:D56)</f>
        <v>1164787.227</v>
      </c>
      <c r="E57" s="96"/>
      <c r="F57" s="83"/>
      <c r="G57" s="17"/>
      <c r="H57" s="17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4.25" customHeight="1">
      <c r="A58" s="80"/>
      <c r="B58" s="81"/>
      <c r="C58" s="82"/>
      <c r="D58" s="82"/>
      <c r="E58" s="82"/>
      <c r="F58" s="82"/>
      <c r="G58" s="82"/>
      <c r="H58" s="82"/>
      <c r="I58" s="83"/>
      <c r="J58" s="17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4.25" customHeight="1">
      <c r="A59" s="80"/>
      <c r="B59" s="81"/>
      <c r="C59" s="82"/>
      <c r="D59" s="82"/>
      <c r="E59" s="82"/>
      <c r="F59" s="82"/>
      <c r="G59" s="82"/>
      <c r="H59" s="82"/>
      <c r="I59" s="83"/>
      <c r="J59" s="17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4.25" customHeight="1">
      <c r="A60" s="84"/>
      <c r="B60" s="97"/>
      <c r="C60" s="96"/>
      <c r="D60" s="96"/>
      <c r="E60" s="96"/>
      <c r="F60" s="96"/>
      <c r="G60" s="96"/>
      <c r="H60" s="96"/>
      <c r="I60" s="83"/>
      <c r="J60" s="17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4.25" customHeight="1">
      <c r="A61" s="12"/>
      <c r="B61" s="83"/>
      <c r="C61" s="83"/>
      <c r="D61" s="83"/>
      <c r="E61" s="83"/>
      <c r="F61" s="83"/>
      <c r="G61" s="83"/>
      <c r="H61" s="83"/>
      <c r="I61" s="81"/>
      <c r="J61" s="71"/>
      <c r="K61" s="98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4.25" customHeight="1">
      <c r="A62" s="99" t="s">
        <v>69</v>
      </c>
      <c r="B62" s="83"/>
      <c r="C62" s="83"/>
      <c r="D62" s="83"/>
      <c r="E62" s="83"/>
      <c r="F62" s="83"/>
      <c r="G62" s="83"/>
      <c r="H62" s="83"/>
      <c r="I62" s="83"/>
      <c r="J62" s="17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4.25" customHeight="1">
      <c r="A63" s="12"/>
      <c r="G63" s="83"/>
      <c r="H63" s="83"/>
      <c r="I63" s="83"/>
      <c r="J63" s="17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4.25" customHeight="1">
      <c r="A64" s="12"/>
      <c r="G64" s="83"/>
      <c r="H64" s="83"/>
      <c r="I64" s="83"/>
      <c r="J64" s="17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4.25" customHeight="1">
      <c r="A65" s="12"/>
      <c r="G65" s="83"/>
      <c r="H65" s="83"/>
      <c r="I65" s="83"/>
      <c r="J65" s="17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4.25" customHeight="1">
      <c r="A66" s="12"/>
      <c r="B66" s="80"/>
      <c r="C66" s="80"/>
      <c r="D66" s="80"/>
      <c r="E66" s="80"/>
      <c r="F66" s="80"/>
      <c r="G66" s="80"/>
      <c r="H66" s="80"/>
      <c r="I66" s="83"/>
      <c r="J66" s="17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4.25" customHeight="1">
      <c r="A67" s="12"/>
      <c r="G67" s="83"/>
      <c r="H67" s="83"/>
      <c r="I67" s="83"/>
      <c r="J67" s="17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4.25" customHeight="1">
      <c r="A68" s="84" t="s">
        <v>70</v>
      </c>
      <c r="B68" s="85"/>
      <c r="C68" s="96"/>
      <c r="D68" s="83"/>
      <c r="E68" s="100" t="s">
        <v>71</v>
      </c>
      <c r="F68" s="17"/>
      <c r="G68" s="17"/>
      <c r="H68" s="17"/>
      <c r="I68" s="34"/>
      <c r="J68" s="101"/>
      <c r="K68" s="101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4.25" customHeight="1">
      <c r="A69" s="87" t="s">
        <v>72</v>
      </c>
      <c r="B69" s="82">
        <f>'2YR Financials'!B40</f>
        <v>0</v>
      </c>
      <c r="C69" s="82"/>
      <c r="D69" s="83"/>
      <c r="E69" s="102"/>
      <c r="F69" s="17"/>
      <c r="G69" s="17"/>
      <c r="H69" s="17"/>
      <c r="I69" s="34"/>
      <c r="J69" s="103"/>
      <c r="K69" s="103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4.25" customHeight="1">
      <c r="A70" s="80" t="s">
        <v>57</v>
      </c>
      <c r="B70" s="82">
        <f>B46</f>
        <v>86000</v>
      </c>
      <c r="C70" s="82"/>
      <c r="D70" s="83"/>
      <c r="E70" s="104" t="s">
        <v>73</v>
      </c>
      <c r="F70" s="105"/>
      <c r="G70" s="105"/>
      <c r="H70" s="105"/>
      <c r="I70" s="34"/>
      <c r="J70" s="103"/>
      <c r="K70" s="103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4.25" customHeight="1">
      <c r="A71" s="80"/>
      <c r="B71" s="82"/>
      <c r="C71" s="82"/>
      <c r="D71" s="83"/>
      <c r="E71" s="106" t="s">
        <v>74</v>
      </c>
      <c r="F71" s="17"/>
      <c r="G71" s="17"/>
      <c r="H71" s="17"/>
      <c r="I71" s="34"/>
      <c r="J71" s="103"/>
      <c r="K71" s="103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4.25" customHeight="1">
      <c r="A72" s="80" t="s">
        <v>75</v>
      </c>
      <c r="B72" s="82">
        <v>48600.0</v>
      </c>
      <c r="C72" s="82"/>
      <c r="D72" s="83"/>
      <c r="E72" s="106" t="s">
        <v>76</v>
      </c>
      <c r="F72" s="17"/>
      <c r="G72" s="17"/>
      <c r="H72" s="17"/>
      <c r="I72" s="34"/>
      <c r="J72" s="107"/>
      <c r="K72" s="107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4.25" customHeight="1">
      <c r="A73" s="84" t="s">
        <v>77</v>
      </c>
      <c r="B73" s="96">
        <f>SUM(B69:B72)</f>
        <v>134600</v>
      </c>
      <c r="C73" s="96"/>
      <c r="D73" s="83"/>
      <c r="E73" s="102"/>
      <c r="F73" s="17"/>
      <c r="G73" s="17"/>
      <c r="H73" s="17"/>
      <c r="I73" s="34"/>
      <c r="J73" s="107"/>
      <c r="K73" s="107" t="s">
        <v>78</v>
      </c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4.25" customHeight="1">
      <c r="A74" s="12"/>
      <c r="B74" s="83"/>
      <c r="C74" s="108"/>
      <c r="D74" s="108"/>
      <c r="E74" s="109"/>
      <c r="F74" s="83"/>
      <c r="G74" s="83"/>
      <c r="H74" s="83"/>
      <c r="I74" s="83"/>
      <c r="J74" s="17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4.25" customHeight="1">
      <c r="A75" s="99" t="s">
        <v>69</v>
      </c>
      <c r="B75" s="83"/>
      <c r="C75" s="83"/>
      <c r="D75" s="83"/>
      <c r="E75" s="83"/>
      <c r="F75" s="83"/>
      <c r="G75" s="83"/>
      <c r="H75" s="83"/>
      <c r="I75" s="83"/>
      <c r="J75" s="17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4.25" customHeight="1">
      <c r="A76" s="12"/>
      <c r="B76" s="83"/>
      <c r="C76" s="83"/>
      <c r="D76" s="83"/>
      <c r="E76" s="83"/>
      <c r="F76" s="83"/>
      <c r="G76" s="83"/>
      <c r="H76" s="83"/>
      <c r="I76" s="83"/>
      <c r="J76" s="17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4.25" customHeight="1">
      <c r="A77" s="110" t="s">
        <v>79</v>
      </c>
      <c r="B77" s="83"/>
      <c r="C77" s="83"/>
      <c r="D77" s="83"/>
      <c r="E77" s="83"/>
      <c r="F77" s="83"/>
      <c r="G77" s="83"/>
      <c r="H77" s="83"/>
      <c r="I77" s="83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4.25" customHeight="1">
      <c r="A78" s="12" t="s">
        <v>80</v>
      </c>
      <c r="B78" s="13">
        <f>C41</f>
        <v>361832.39</v>
      </c>
      <c r="C78" s="13">
        <f>C41</f>
        <v>361832.39</v>
      </c>
      <c r="D78" s="13"/>
      <c r="E78" s="13"/>
      <c r="F78" s="13">
        <v>93948.0</v>
      </c>
      <c r="G78" s="13"/>
      <c r="H78" s="13"/>
      <c r="I78" s="83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4.25" customHeight="1">
      <c r="A79" s="12" t="s">
        <v>81</v>
      </c>
      <c r="B79" s="108">
        <v>0.12</v>
      </c>
      <c r="C79" s="108">
        <v>0.07</v>
      </c>
      <c r="D79" s="108"/>
      <c r="E79" s="108"/>
      <c r="F79" s="111">
        <v>0.085</v>
      </c>
      <c r="G79" s="111"/>
      <c r="H79" s="111"/>
      <c r="I79" s="83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4.25" customHeight="1">
      <c r="A80" s="12"/>
      <c r="B80" s="13">
        <f t="shared" ref="B80:C80" si="4">B78/B79</f>
        <v>3015269.917</v>
      </c>
      <c r="C80" s="13">
        <f t="shared" si="4"/>
        <v>5169034.143</v>
      </c>
      <c r="D80" s="13"/>
      <c r="E80" s="13"/>
      <c r="F80" s="13">
        <f>F78/F79</f>
        <v>1105270.588</v>
      </c>
      <c r="G80" s="13"/>
      <c r="H80" s="13"/>
      <c r="I80" s="83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4.25" customHeight="1">
      <c r="A81" s="12" t="s">
        <v>82</v>
      </c>
      <c r="B81" s="13">
        <f>B13+B15</f>
        <v>13367.38</v>
      </c>
      <c r="C81" s="13">
        <f>B81</f>
        <v>13367.38</v>
      </c>
      <c r="D81" s="13"/>
      <c r="E81" s="13"/>
      <c r="F81" s="13">
        <f>C81</f>
        <v>13367.38</v>
      </c>
      <c r="G81" s="13"/>
      <c r="H81" s="13"/>
      <c r="I81" s="83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4.25" customHeight="1">
      <c r="A82" s="83"/>
      <c r="B82" s="112">
        <f t="shared" ref="B82:C82" si="5">B80-B81</f>
        <v>3001902.537</v>
      </c>
      <c r="C82" s="112">
        <f t="shared" si="5"/>
        <v>5155666.763</v>
      </c>
      <c r="D82" s="112"/>
      <c r="E82" s="112"/>
      <c r="F82" s="113">
        <f>F80-F81</f>
        <v>1091903.208</v>
      </c>
      <c r="G82" s="114"/>
      <c r="H82" s="114"/>
      <c r="I82" s="83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4.25" customHeight="1">
      <c r="A83" s="83" t="s">
        <v>83</v>
      </c>
      <c r="B83" s="83"/>
      <c r="C83" s="83"/>
      <c r="D83" s="83"/>
      <c r="E83" s="83"/>
      <c r="F83" s="83"/>
      <c r="G83" s="83"/>
      <c r="H83" s="83"/>
      <c r="I83" s="83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4.25" customHeight="1">
      <c r="A84" s="83"/>
      <c r="B84" s="83"/>
      <c r="C84" s="83"/>
      <c r="D84" s="83"/>
      <c r="E84" s="83"/>
      <c r="F84" s="83"/>
      <c r="G84" s="83"/>
      <c r="H84" s="83"/>
      <c r="I84" s="83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4.25" customHeight="1">
      <c r="A85" s="83"/>
      <c r="B85" s="83"/>
      <c r="C85" s="83"/>
      <c r="D85" s="83"/>
      <c r="E85" s="83"/>
      <c r="F85" s="83"/>
      <c r="G85" s="83"/>
      <c r="H85" s="83"/>
      <c r="I85" s="83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4.25" customHeight="1">
      <c r="A86" s="115" t="s">
        <v>84</v>
      </c>
      <c r="B86" s="116" t="s">
        <v>85</v>
      </c>
      <c r="C86" s="117" t="s">
        <v>86</v>
      </c>
      <c r="D86" s="83"/>
      <c r="E86" s="83"/>
      <c r="F86" s="83"/>
      <c r="G86" s="83"/>
      <c r="H86" s="83"/>
      <c r="I86" s="83"/>
      <c r="J86" s="17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4.25" customHeight="1">
      <c r="A87" s="118" t="s">
        <v>87</v>
      </c>
      <c r="B87" s="119">
        <f t="shared" ref="B87:C87" si="6">C44</f>
        <v>882871.0316</v>
      </c>
      <c r="C87" s="120">
        <f t="shared" si="6"/>
        <v>1063787.227</v>
      </c>
      <c r="D87" s="83"/>
      <c r="E87" s="83"/>
      <c r="F87" s="83"/>
      <c r="G87" s="83"/>
      <c r="H87" s="83"/>
      <c r="I87" s="83"/>
      <c r="J87" s="17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4.25" customHeight="1">
      <c r="A88" s="118" t="s">
        <v>88</v>
      </c>
      <c r="B88" s="121">
        <f>B46</f>
        <v>86000</v>
      </c>
      <c r="C88" s="122">
        <f t="shared" ref="C88:C89" si="7">B88</f>
        <v>86000</v>
      </c>
      <c r="D88" s="83"/>
      <c r="E88" s="83"/>
      <c r="F88" s="83"/>
      <c r="G88" s="83"/>
      <c r="H88" s="83"/>
      <c r="I88" s="83"/>
      <c r="J88" s="17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4.25" customHeight="1">
      <c r="A89" s="123" t="s">
        <v>89</v>
      </c>
      <c r="B89" s="124">
        <f>C47</f>
        <v>15000</v>
      </c>
      <c r="C89" s="125">
        <f t="shared" si="7"/>
        <v>15000</v>
      </c>
      <c r="D89" s="83"/>
      <c r="E89" s="83"/>
      <c r="F89" s="83"/>
      <c r="G89" s="83"/>
      <c r="H89" s="83"/>
      <c r="I89" s="83"/>
      <c r="J89" s="17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4.25" customHeight="1">
      <c r="A90" s="126" t="s">
        <v>90</v>
      </c>
      <c r="B90" s="127">
        <f t="shared" ref="B90:C90" si="8">SUM(B87:B89)</f>
        <v>983871.0316</v>
      </c>
      <c r="C90" s="128">
        <f t="shared" si="8"/>
        <v>1164787.227</v>
      </c>
      <c r="D90" s="83"/>
      <c r="E90" s="83"/>
      <c r="F90" s="83"/>
      <c r="G90" s="83"/>
      <c r="H90" s="83"/>
      <c r="I90" s="83"/>
      <c r="J90" s="17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4.25" customHeight="1">
      <c r="A91" s="17"/>
      <c r="B91" s="17"/>
      <c r="C91" s="17"/>
      <c r="D91" s="83"/>
      <c r="E91" s="83"/>
      <c r="F91" s="83"/>
      <c r="G91" s="83"/>
      <c r="H91" s="83"/>
      <c r="I91" s="83"/>
      <c r="J91" s="17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4.25" customHeight="1">
      <c r="A92" s="83"/>
      <c r="B92" s="83"/>
      <c r="C92" s="83"/>
      <c r="D92" s="83"/>
      <c r="E92" s="83"/>
      <c r="F92" s="83"/>
      <c r="G92" s="83"/>
      <c r="H92" s="83"/>
      <c r="I92" s="83"/>
      <c r="J92" s="17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4.25" customHeight="1">
      <c r="A93" s="83"/>
      <c r="B93" s="83"/>
      <c r="C93" s="83"/>
      <c r="D93" s="83"/>
      <c r="E93" s="83"/>
      <c r="F93" s="83"/>
      <c r="G93" s="83"/>
      <c r="H93" s="83"/>
      <c r="I93" s="83"/>
      <c r="J93" s="17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4.25" customHeight="1">
      <c r="A94" s="83"/>
      <c r="B94" s="83"/>
      <c r="C94" s="83"/>
      <c r="D94" s="83"/>
      <c r="E94" s="83"/>
      <c r="F94" s="83"/>
      <c r="G94" s="83"/>
      <c r="H94" s="83"/>
      <c r="I94" s="83"/>
      <c r="J94" s="17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4.25" customHeight="1">
      <c r="A95" s="83"/>
      <c r="B95" s="83"/>
      <c r="C95" s="83"/>
      <c r="D95" s="83"/>
      <c r="E95" s="83"/>
      <c r="F95" s="83"/>
      <c r="G95" s="83"/>
      <c r="H95" s="83"/>
      <c r="I95" s="83"/>
      <c r="J95" s="17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4.25" customHeight="1">
      <c r="A96" s="83"/>
      <c r="B96" s="83"/>
      <c r="C96" s="83"/>
      <c r="D96" s="83"/>
      <c r="E96" s="83"/>
      <c r="F96" s="83"/>
      <c r="G96" s="83"/>
      <c r="H96" s="83"/>
      <c r="I96" s="83"/>
      <c r="J96" s="17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4.25" customHeight="1">
      <c r="A97" s="83"/>
      <c r="B97" s="83"/>
      <c r="C97" s="83"/>
      <c r="D97" s="83"/>
      <c r="E97" s="83"/>
      <c r="F97" s="83"/>
      <c r="G97" s="83"/>
      <c r="H97" s="83"/>
      <c r="I97" s="83"/>
      <c r="J97" s="17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4.25" customHeight="1">
      <c r="A98" s="83"/>
      <c r="B98" s="83"/>
      <c r="C98" s="83"/>
      <c r="D98" s="83"/>
      <c r="E98" s="83"/>
      <c r="F98" s="83"/>
      <c r="G98" s="83"/>
      <c r="H98" s="83"/>
      <c r="I98" s="83"/>
      <c r="J98" s="17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4.25" customHeight="1">
      <c r="A99" s="83"/>
      <c r="B99" s="83"/>
      <c r="C99" s="83"/>
      <c r="D99" s="83"/>
      <c r="E99" s="83"/>
      <c r="F99" s="83"/>
      <c r="G99" s="83"/>
      <c r="H99" s="83"/>
      <c r="I99" s="83"/>
      <c r="J99" s="17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4.2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17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4.2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17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4.2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17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4.2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17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4.2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17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4.2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17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4.2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17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4.2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17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4.2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17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4.2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17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4.2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17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4.2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17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4.2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17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4.2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17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4.2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17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4.2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17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4.2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17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4.2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17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4.2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17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4.2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17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4.2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17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4.2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17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4.2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17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4.2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17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4.2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17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4.2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17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4.2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17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4.2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17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4.2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17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4.2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17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4.2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17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4.2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17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4.2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17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4.2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17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4.2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17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4.2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17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4.2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17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4.2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17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4.2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17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4.2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17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4.2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17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4.2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17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4.2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17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4.2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17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4.2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17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4.2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17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4.2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17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4.2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17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4.2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17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4.2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17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4.2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17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4.2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17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4.2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17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4.2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17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4.2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17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4.2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17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4.2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17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4.2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17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4.2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17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4.2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17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4.2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17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4.2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17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4.2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17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4.2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17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4.2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17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4.2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17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4.2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17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4.2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17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4.2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17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4.2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17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4.2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17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4.2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17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4.2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17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4.2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17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4.2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17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4.2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17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4.2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17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4.2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17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4.2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17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4.2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17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4.2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17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4.2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17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4.2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17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4.2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17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4.2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17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4.2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17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4.2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17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4.2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17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4.2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17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4.2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17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4.2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17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4.2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17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4.2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17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4.2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17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4.2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17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4.2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17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4.2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17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4.2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17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4.2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17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4.2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17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4.2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17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4.2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17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4.2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17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4.2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17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4.2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17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4.2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17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4.2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17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4.2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17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4.2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17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4.2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17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4.2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17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4.2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17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4.2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17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4.2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17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4.2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17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4.2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17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4.2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17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4.2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17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4.2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17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4.2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17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4.2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17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4.25" customHeight="1">
      <c r="A221" s="83"/>
      <c r="B221" s="83"/>
      <c r="C221" s="83"/>
      <c r="D221" s="83"/>
      <c r="E221" s="83"/>
      <c r="F221" s="83"/>
      <c r="G221" s="83"/>
      <c r="H221" s="83"/>
      <c r="I221" s="83"/>
      <c r="J221" s="17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4.25" customHeight="1">
      <c r="A222" s="83"/>
      <c r="B222" s="83"/>
      <c r="C222" s="83"/>
      <c r="D222" s="83"/>
      <c r="E222" s="83"/>
      <c r="F222" s="83"/>
      <c r="G222" s="83"/>
      <c r="H222" s="83"/>
      <c r="I222" s="83"/>
      <c r="J222" s="17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4.25" customHeight="1">
      <c r="A223" s="83"/>
      <c r="B223" s="83"/>
      <c r="C223" s="83"/>
      <c r="D223" s="83"/>
      <c r="E223" s="83"/>
      <c r="F223" s="83"/>
      <c r="G223" s="83"/>
      <c r="H223" s="83"/>
      <c r="I223" s="83"/>
      <c r="J223" s="17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4.25" customHeight="1">
      <c r="A224" s="83"/>
      <c r="B224" s="83"/>
      <c r="C224" s="83"/>
      <c r="D224" s="83"/>
      <c r="E224" s="83"/>
      <c r="F224" s="83"/>
      <c r="G224" s="83"/>
      <c r="H224" s="83"/>
      <c r="I224" s="83"/>
      <c r="J224" s="17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4.25" customHeight="1">
      <c r="A225" s="83"/>
      <c r="B225" s="83"/>
      <c r="C225" s="83"/>
      <c r="D225" s="83"/>
      <c r="E225" s="83"/>
      <c r="F225" s="83"/>
      <c r="G225" s="83"/>
      <c r="H225" s="83"/>
      <c r="I225" s="83"/>
      <c r="J225" s="17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4.25" customHeight="1">
      <c r="A226" s="83"/>
      <c r="B226" s="83"/>
      <c r="C226" s="83"/>
      <c r="D226" s="83"/>
      <c r="E226" s="83"/>
      <c r="F226" s="83"/>
      <c r="G226" s="83"/>
      <c r="H226" s="83"/>
      <c r="I226" s="83"/>
      <c r="J226" s="17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4.25" customHeight="1">
      <c r="A227" s="83"/>
      <c r="B227" s="83"/>
      <c r="C227" s="83"/>
      <c r="D227" s="83"/>
      <c r="E227" s="83"/>
      <c r="F227" s="83"/>
      <c r="G227" s="83"/>
      <c r="H227" s="83"/>
      <c r="I227" s="83"/>
      <c r="J227" s="17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4.25" customHeight="1">
      <c r="A228" s="83"/>
      <c r="B228" s="83"/>
      <c r="C228" s="83"/>
      <c r="D228" s="83"/>
      <c r="E228" s="83"/>
      <c r="F228" s="83"/>
      <c r="G228" s="83"/>
      <c r="H228" s="83"/>
      <c r="I228" s="83"/>
      <c r="J228" s="17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4.2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17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4.2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17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4.2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17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4.2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17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4.25" customHeight="1">
      <c r="A233" s="83"/>
      <c r="B233" s="83"/>
      <c r="C233" s="83"/>
      <c r="D233" s="83"/>
      <c r="E233" s="83"/>
      <c r="F233" s="83"/>
      <c r="G233" s="83"/>
      <c r="H233" s="83"/>
      <c r="I233" s="83"/>
      <c r="J233" s="17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4.25" customHeight="1">
      <c r="A234" s="83"/>
      <c r="B234" s="83"/>
      <c r="C234" s="83"/>
      <c r="D234" s="83"/>
      <c r="E234" s="83"/>
      <c r="F234" s="83"/>
      <c r="G234" s="83"/>
      <c r="H234" s="83"/>
      <c r="I234" s="83"/>
      <c r="J234" s="17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4.25" customHeight="1">
      <c r="A235" s="83"/>
      <c r="B235" s="83"/>
      <c r="C235" s="83"/>
      <c r="D235" s="83"/>
      <c r="E235" s="83"/>
      <c r="F235" s="83"/>
      <c r="G235" s="83"/>
      <c r="H235" s="83"/>
      <c r="I235" s="83"/>
      <c r="J235" s="17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4.25" customHeight="1">
      <c r="A236" s="83"/>
      <c r="B236" s="83"/>
      <c r="C236" s="83"/>
      <c r="D236" s="83"/>
      <c r="E236" s="83"/>
      <c r="F236" s="83"/>
      <c r="G236" s="83"/>
      <c r="H236" s="83"/>
      <c r="I236" s="83"/>
      <c r="J236" s="17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4.25" customHeight="1">
      <c r="A237" s="83"/>
      <c r="B237" s="83"/>
      <c r="C237" s="83"/>
      <c r="D237" s="83"/>
      <c r="E237" s="83"/>
      <c r="F237" s="83"/>
      <c r="G237" s="83"/>
      <c r="H237" s="83"/>
      <c r="I237" s="83"/>
      <c r="J237" s="17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4.25" customHeight="1">
      <c r="A238" s="83"/>
      <c r="B238" s="83"/>
      <c r="C238" s="83"/>
      <c r="D238" s="83"/>
      <c r="E238" s="83"/>
      <c r="F238" s="83"/>
      <c r="G238" s="83"/>
      <c r="H238" s="83"/>
      <c r="I238" s="83"/>
      <c r="J238" s="17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4.25" customHeight="1">
      <c r="A239" s="83"/>
      <c r="B239" s="83"/>
      <c r="C239" s="83"/>
      <c r="D239" s="83"/>
      <c r="E239" s="83"/>
      <c r="F239" s="83"/>
      <c r="G239" s="83"/>
      <c r="H239" s="83"/>
      <c r="I239" s="83"/>
      <c r="J239" s="17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4.25" customHeight="1">
      <c r="A240" s="83"/>
      <c r="B240" s="83"/>
      <c r="C240" s="83"/>
      <c r="D240" s="83"/>
      <c r="E240" s="83"/>
      <c r="F240" s="83"/>
      <c r="G240" s="83"/>
      <c r="H240" s="83"/>
      <c r="I240" s="83"/>
      <c r="J240" s="17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4.25" customHeight="1">
      <c r="A241" s="83"/>
      <c r="B241" s="83"/>
      <c r="C241" s="83"/>
      <c r="D241" s="83"/>
      <c r="E241" s="83"/>
      <c r="F241" s="83"/>
      <c r="G241" s="83"/>
      <c r="H241" s="83"/>
      <c r="I241" s="83"/>
      <c r="J241" s="17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4.25" customHeight="1">
      <c r="A242" s="83"/>
      <c r="B242" s="83"/>
      <c r="C242" s="83"/>
      <c r="D242" s="83"/>
      <c r="E242" s="83"/>
      <c r="F242" s="83"/>
      <c r="G242" s="83"/>
      <c r="H242" s="83"/>
      <c r="I242" s="83"/>
      <c r="J242" s="17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4.25" customHeight="1">
      <c r="A243" s="83"/>
      <c r="B243" s="83"/>
      <c r="C243" s="83"/>
      <c r="D243" s="83"/>
      <c r="E243" s="83"/>
      <c r="F243" s="83"/>
      <c r="G243" s="83"/>
      <c r="H243" s="83"/>
      <c r="I243" s="83"/>
      <c r="J243" s="17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4.25" customHeight="1">
      <c r="A244" s="83"/>
      <c r="B244" s="83"/>
      <c r="C244" s="83"/>
      <c r="D244" s="83"/>
      <c r="E244" s="83"/>
      <c r="F244" s="83"/>
      <c r="G244" s="83"/>
      <c r="H244" s="83"/>
      <c r="I244" s="83"/>
      <c r="J244" s="17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4.25" customHeight="1">
      <c r="A245" s="83"/>
      <c r="B245" s="83"/>
      <c r="C245" s="83"/>
      <c r="D245" s="83"/>
      <c r="E245" s="83"/>
      <c r="F245" s="83"/>
      <c r="G245" s="83"/>
      <c r="H245" s="83"/>
      <c r="I245" s="83"/>
      <c r="J245" s="17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4.25" customHeight="1">
      <c r="A246" s="83"/>
      <c r="B246" s="83"/>
      <c r="C246" s="83"/>
      <c r="D246" s="83"/>
      <c r="E246" s="83"/>
      <c r="F246" s="83"/>
      <c r="G246" s="83"/>
      <c r="H246" s="83"/>
      <c r="I246" s="83"/>
      <c r="J246" s="17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4.2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17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4.25" customHeight="1">
      <c r="A248" s="83"/>
      <c r="B248" s="83"/>
      <c r="C248" s="83"/>
      <c r="D248" s="83"/>
      <c r="E248" s="83"/>
      <c r="F248" s="83"/>
      <c r="G248" s="83"/>
      <c r="H248" s="83"/>
      <c r="I248" s="83"/>
      <c r="J248" s="17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4.25" customHeight="1">
      <c r="A249" s="83"/>
      <c r="B249" s="83"/>
      <c r="C249" s="83"/>
      <c r="D249" s="83"/>
      <c r="E249" s="83"/>
      <c r="F249" s="83"/>
      <c r="G249" s="83"/>
      <c r="H249" s="83"/>
      <c r="I249" s="83"/>
      <c r="J249" s="17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4.25" customHeight="1">
      <c r="A250" s="83"/>
      <c r="B250" s="83"/>
      <c r="C250" s="83"/>
      <c r="D250" s="83"/>
      <c r="E250" s="83"/>
      <c r="F250" s="83"/>
      <c r="G250" s="83"/>
      <c r="H250" s="83"/>
      <c r="I250" s="83"/>
      <c r="J250" s="17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4.25" customHeight="1">
      <c r="A251" s="83"/>
      <c r="B251" s="83"/>
      <c r="C251" s="83"/>
      <c r="D251" s="83"/>
      <c r="E251" s="83"/>
      <c r="F251" s="83"/>
      <c r="G251" s="83"/>
      <c r="H251" s="83"/>
      <c r="I251" s="83"/>
      <c r="J251" s="17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4.25" customHeight="1">
      <c r="A252" s="83"/>
      <c r="B252" s="83"/>
      <c r="C252" s="83"/>
      <c r="D252" s="83"/>
      <c r="E252" s="83"/>
      <c r="F252" s="83"/>
      <c r="G252" s="83"/>
      <c r="H252" s="83"/>
      <c r="I252" s="83"/>
      <c r="J252" s="17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4.25" customHeight="1">
      <c r="A253" s="83"/>
      <c r="B253" s="83"/>
      <c r="C253" s="83"/>
      <c r="D253" s="83"/>
      <c r="E253" s="83"/>
      <c r="F253" s="83"/>
      <c r="G253" s="83"/>
      <c r="H253" s="83"/>
      <c r="I253" s="83"/>
      <c r="J253" s="17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4.25" customHeight="1">
      <c r="A254" s="83"/>
      <c r="B254" s="83"/>
      <c r="C254" s="83"/>
      <c r="D254" s="83"/>
      <c r="E254" s="83"/>
      <c r="F254" s="83"/>
      <c r="G254" s="83"/>
      <c r="H254" s="83"/>
      <c r="I254" s="83"/>
      <c r="J254" s="17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4.25" customHeight="1">
      <c r="A255" s="83"/>
      <c r="B255" s="83"/>
      <c r="C255" s="83"/>
      <c r="D255" s="83"/>
      <c r="E255" s="83"/>
      <c r="F255" s="83"/>
      <c r="G255" s="83"/>
      <c r="H255" s="83"/>
      <c r="I255" s="83"/>
      <c r="J255" s="17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4.25" customHeight="1">
      <c r="A256" s="83"/>
      <c r="B256" s="83"/>
      <c r="C256" s="83"/>
      <c r="D256" s="83"/>
      <c r="E256" s="83"/>
      <c r="F256" s="83"/>
      <c r="G256" s="83"/>
      <c r="H256" s="83"/>
      <c r="I256" s="83"/>
      <c r="J256" s="17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4.25" customHeight="1">
      <c r="A257" s="83"/>
      <c r="B257" s="83"/>
      <c r="C257" s="83"/>
      <c r="D257" s="83"/>
      <c r="E257" s="83"/>
      <c r="F257" s="83"/>
      <c r="G257" s="83"/>
      <c r="H257" s="83"/>
      <c r="I257" s="83"/>
      <c r="J257" s="17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4.25" customHeight="1">
      <c r="A258" s="83"/>
      <c r="B258" s="83"/>
      <c r="C258" s="83"/>
      <c r="D258" s="83"/>
      <c r="E258" s="83"/>
      <c r="F258" s="83"/>
      <c r="G258" s="83"/>
      <c r="H258" s="83"/>
      <c r="I258" s="83"/>
      <c r="J258" s="17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4.25" customHeight="1">
      <c r="A259" s="83"/>
      <c r="B259" s="83"/>
      <c r="C259" s="83"/>
      <c r="D259" s="83"/>
      <c r="E259" s="83"/>
      <c r="F259" s="83"/>
      <c r="G259" s="83"/>
      <c r="H259" s="83"/>
      <c r="I259" s="83"/>
      <c r="J259" s="17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4.25" customHeight="1">
      <c r="A260" s="83"/>
      <c r="B260" s="83"/>
      <c r="C260" s="83"/>
      <c r="D260" s="83"/>
      <c r="E260" s="83"/>
      <c r="F260" s="83"/>
      <c r="G260" s="83"/>
      <c r="H260" s="83"/>
      <c r="I260" s="83"/>
      <c r="J260" s="17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4.25" customHeight="1">
      <c r="A261" s="83"/>
      <c r="B261" s="83"/>
      <c r="C261" s="83"/>
      <c r="D261" s="83"/>
      <c r="E261" s="83"/>
      <c r="F261" s="83"/>
      <c r="G261" s="83"/>
      <c r="H261" s="83"/>
      <c r="I261" s="83"/>
      <c r="J261" s="17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4.25" customHeight="1">
      <c r="A262" s="83"/>
      <c r="B262" s="83"/>
      <c r="C262" s="83"/>
      <c r="D262" s="83"/>
      <c r="E262" s="83"/>
      <c r="F262" s="83"/>
      <c r="G262" s="83"/>
      <c r="H262" s="83"/>
      <c r="I262" s="83"/>
      <c r="J262" s="17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4.25" customHeight="1">
      <c r="A263" s="83"/>
      <c r="B263" s="83"/>
      <c r="C263" s="83"/>
      <c r="D263" s="83"/>
      <c r="E263" s="83"/>
      <c r="F263" s="83"/>
      <c r="G263" s="83"/>
      <c r="H263" s="83"/>
      <c r="I263" s="83"/>
      <c r="J263" s="17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4.25" customHeight="1">
      <c r="A264" s="83"/>
      <c r="B264" s="83"/>
      <c r="C264" s="83"/>
      <c r="D264" s="83"/>
      <c r="E264" s="83"/>
      <c r="F264" s="83"/>
      <c r="G264" s="83"/>
      <c r="H264" s="83"/>
      <c r="I264" s="83"/>
      <c r="J264" s="17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4.25" customHeight="1">
      <c r="A265" s="83"/>
      <c r="B265" s="83"/>
      <c r="C265" s="83"/>
      <c r="D265" s="83"/>
      <c r="E265" s="83"/>
      <c r="F265" s="83"/>
      <c r="G265" s="83"/>
      <c r="H265" s="83"/>
      <c r="I265" s="83"/>
      <c r="J265" s="17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4.25" customHeight="1">
      <c r="A266" s="83"/>
      <c r="B266" s="83"/>
      <c r="C266" s="83"/>
      <c r="D266" s="83"/>
      <c r="E266" s="83"/>
      <c r="F266" s="83"/>
      <c r="G266" s="83"/>
      <c r="H266" s="83"/>
      <c r="I266" s="83"/>
      <c r="J266" s="17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4.25" customHeight="1">
      <c r="A267" s="83"/>
      <c r="B267" s="83"/>
      <c r="C267" s="83"/>
      <c r="D267" s="83"/>
      <c r="E267" s="83"/>
      <c r="F267" s="83"/>
      <c r="G267" s="83"/>
      <c r="H267" s="83"/>
      <c r="I267" s="83"/>
      <c r="J267" s="17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4.25" customHeight="1">
      <c r="A268" s="83"/>
      <c r="B268" s="83"/>
      <c r="C268" s="83"/>
      <c r="D268" s="83"/>
      <c r="E268" s="83"/>
      <c r="F268" s="83"/>
      <c r="G268" s="83"/>
      <c r="H268" s="83"/>
      <c r="I268" s="83"/>
      <c r="J268" s="17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4.25" customHeight="1">
      <c r="A269" s="83"/>
      <c r="B269" s="83"/>
      <c r="C269" s="83"/>
      <c r="D269" s="83"/>
      <c r="E269" s="83"/>
      <c r="F269" s="83"/>
      <c r="G269" s="83"/>
      <c r="H269" s="83"/>
      <c r="I269" s="83"/>
      <c r="J269" s="17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4.25" customHeight="1">
      <c r="A270" s="83"/>
      <c r="B270" s="83"/>
      <c r="C270" s="83"/>
      <c r="D270" s="83"/>
      <c r="E270" s="83"/>
      <c r="F270" s="83"/>
      <c r="G270" s="83"/>
      <c r="H270" s="83"/>
      <c r="I270" s="83"/>
      <c r="J270" s="17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4.25" customHeight="1">
      <c r="A271" s="83"/>
      <c r="B271" s="83"/>
      <c r="C271" s="83"/>
      <c r="D271" s="83"/>
      <c r="E271" s="83"/>
      <c r="F271" s="83"/>
      <c r="G271" s="83"/>
      <c r="H271" s="83"/>
      <c r="I271" s="83"/>
      <c r="J271" s="17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4.25" customHeight="1">
      <c r="A272" s="83"/>
      <c r="B272" s="83"/>
      <c r="C272" s="83"/>
      <c r="D272" s="83"/>
      <c r="E272" s="83"/>
      <c r="F272" s="83"/>
      <c r="G272" s="83"/>
      <c r="H272" s="83"/>
      <c r="I272" s="83"/>
      <c r="J272" s="17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4.25" customHeight="1">
      <c r="A273" s="83"/>
      <c r="B273" s="83"/>
      <c r="C273" s="83"/>
      <c r="D273" s="83"/>
      <c r="E273" s="83"/>
      <c r="F273" s="83"/>
      <c r="G273" s="83"/>
      <c r="H273" s="83"/>
      <c r="I273" s="83"/>
      <c r="J273" s="17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4.25" customHeight="1">
      <c r="A274" s="83"/>
      <c r="B274" s="83"/>
      <c r="C274" s="83"/>
      <c r="D274" s="83"/>
      <c r="E274" s="83"/>
      <c r="F274" s="83"/>
      <c r="G274" s="83"/>
      <c r="H274" s="83"/>
      <c r="I274" s="83"/>
      <c r="J274" s="17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4.25" customHeight="1">
      <c r="A275" s="83"/>
      <c r="B275" s="83"/>
      <c r="C275" s="83"/>
      <c r="D275" s="83"/>
      <c r="E275" s="83"/>
      <c r="F275" s="83"/>
      <c r="G275" s="83"/>
      <c r="H275" s="83"/>
      <c r="I275" s="83"/>
      <c r="J275" s="17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4.25" customHeight="1">
      <c r="A276" s="83"/>
      <c r="B276" s="83"/>
      <c r="C276" s="83"/>
      <c r="D276" s="83"/>
      <c r="E276" s="83"/>
      <c r="F276" s="83"/>
      <c r="G276" s="83"/>
      <c r="H276" s="83"/>
      <c r="I276" s="83"/>
      <c r="J276" s="17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4.25" customHeight="1">
      <c r="A277" s="83"/>
      <c r="B277" s="83"/>
      <c r="C277" s="83"/>
      <c r="D277" s="83"/>
      <c r="E277" s="83"/>
      <c r="F277" s="83"/>
      <c r="G277" s="83"/>
      <c r="H277" s="83"/>
      <c r="I277" s="83"/>
      <c r="J277" s="17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4.25" customHeight="1">
      <c r="A278" s="83"/>
      <c r="B278" s="83"/>
      <c r="C278" s="83"/>
      <c r="D278" s="83"/>
      <c r="E278" s="83"/>
      <c r="F278" s="83"/>
      <c r="G278" s="83"/>
      <c r="H278" s="83"/>
      <c r="I278" s="83"/>
      <c r="J278" s="17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4.25" customHeight="1">
      <c r="A279" s="83"/>
      <c r="B279" s="83"/>
      <c r="C279" s="83"/>
      <c r="D279" s="83"/>
      <c r="E279" s="83"/>
      <c r="F279" s="83"/>
      <c r="G279" s="83"/>
      <c r="H279" s="83"/>
      <c r="I279" s="83"/>
      <c r="J279" s="17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4.25" customHeight="1">
      <c r="A280" s="83"/>
      <c r="B280" s="83"/>
      <c r="C280" s="83"/>
      <c r="D280" s="83"/>
      <c r="E280" s="83"/>
      <c r="F280" s="83"/>
      <c r="G280" s="83"/>
      <c r="H280" s="83"/>
      <c r="I280" s="83"/>
      <c r="J280" s="17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4.25" customHeight="1">
      <c r="A281" s="83"/>
      <c r="B281" s="83"/>
      <c r="C281" s="83"/>
      <c r="D281" s="83"/>
      <c r="E281" s="83"/>
      <c r="F281" s="83"/>
      <c r="G281" s="83"/>
      <c r="H281" s="83"/>
      <c r="I281" s="83"/>
      <c r="J281" s="17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4.2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17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4.2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17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4.2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17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4.25" customHeight="1">
      <c r="A285" s="83"/>
      <c r="B285" s="83"/>
      <c r="C285" s="83"/>
      <c r="D285" s="83"/>
      <c r="E285" s="83"/>
      <c r="F285" s="83"/>
      <c r="G285" s="83"/>
      <c r="H285" s="83"/>
      <c r="I285" s="83"/>
      <c r="J285" s="17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4.25" customHeight="1">
      <c r="A286" s="83"/>
      <c r="B286" s="83"/>
      <c r="C286" s="83"/>
      <c r="D286" s="83"/>
      <c r="E286" s="83"/>
      <c r="F286" s="83"/>
      <c r="G286" s="83"/>
      <c r="H286" s="83"/>
      <c r="I286" s="83"/>
      <c r="J286" s="17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4.25" customHeight="1">
      <c r="A287" s="83"/>
      <c r="B287" s="83"/>
      <c r="C287" s="83"/>
      <c r="D287" s="83"/>
      <c r="E287" s="83"/>
      <c r="F287" s="83"/>
      <c r="G287" s="83"/>
      <c r="H287" s="83"/>
      <c r="I287" s="83"/>
      <c r="J287" s="17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4.25" customHeight="1">
      <c r="A288" s="83"/>
      <c r="B288" s="83"/>
      <c r="C288" s="83"/>
      <c r="D288" s="83"/>
      <c r="E288" s="83"/>
      <c r="F288" s="83"/>
      <c r="G288" s="83"/>
      <c r="H288" s="83"/>
      <c r="I288" s="83"/>
      <c r="J288" s="17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4.25" customHeight="1">
      <c r="A289" s="83"/>
      <c r="B289" s="83"/>
      <c r="C289" s="83"/>
      <c r="D289" s="83"/>
      <c r="E289" s="83"/>
      <c r="F289" s="83"/>
      <c r="G289" s="83"/>
      <c r="H289" s="83"/>
      <c r="I289" s="83"/>
      <c r="J289" s="17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4.25" customHeight="1">
      <c r="A290" s="83"/>
      <c r="B290" s="83"/>
      <c r="C290" s="83"/>
      <c r="D290" s="83"/>
      <c r="E290" s="83"/>
      <c r="F290" s="83"/>
      <c r="G290" s="83"/>
      <c r="H290" s="83"/>
      <c r="I290" s="83"/>
      <c r="J290" s="17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4.2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17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4.2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17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4.25" customHeight="1">
      <c r="A293" s="83"/>
      <c r="B293" s="83"/>
      <c r="C293" s="83"/>
      <c r="D293" s="83"/>
      <c r="E293" s="83"/>
      <c r="F293" s="83"/>
      <c r="G293" s="83"/>
      <c r="H293" s="83"/>
      <c r="I293" s="83"/>
      <c r="J293" s="17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4.2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17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4.2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17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4.25" customHeight="1">
      <c r="A296" s="83"/>
      <c r="B296" s="83"/>
      <c r="C296" s="83"/>
      <c r="D296" s="83"/>
      <c r="E296" s="83"/>
      <c r="F296" s="83"/>
      <c r="G296" s="83"/>
      <c r="H296" s="83"/>
      <c r="I296" s="83"/>
      <c r="J296" s="17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4.25" customHeight="1">
      <c r="A297" s="83"/>
      <c r="B297" s="83"/>
      <c r="C297" s="83"/>
      <c r="D297" s="83"/>
      <c r="E297" s="83"/>
      <c r="F297" s="83"/>
      <c r="G297" s="83"/>
      <c r="H297" s="83"/>
      <c r="I297" s="83"/>
      <c r="J297" s="17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4.2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17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4.25" customHeight="1">
      <c r="A299" s="83"/>
      <c r="B299" s="83"/>
      <c r="C299" s="83"/>
      <c r="D299" s="83"/>
      <c r="E299" s="83"/>
      <c r="F299" s="83"/>
      <c r="G299" s="83"/>
      <c r="H299" s="83"/>
      <c r="I299" s="83"/>
      <c r="J299" s="17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4.25" customHeight="1">
      <c r="A300" s="83"/>
      <c r="B300" s="83"/>
      <c r="C300" s="83"/>
      <c r="D300" s="83"/>
      <c r="E300" s="83"/>
      <c r="F300" s="83"/>
      <c r="G300" s="83"/>
      <c r="H300" s="83"/>
      <c r="I300" s="83"/>
      <c r="J300" s="17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4.25" customHeight="1">
      <c r="A301" s="83"/>
      <c r="B301" s="83"/>
      <c r="C301" s="83"/>
      <c r="D301" s="83"/>
      <c r="E301" s="83"/>
      <c r="F301" s="83"/>
      <c r="G301" s="83"/>
      <c r="H301" s="83"/>
      <c r="I301" s="83"/>
      <c r="J301" s="17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4.25" customHeight="1">
      <c r="A302" s="83"/>
      <c r="B302" s="83"/>
      <c r="C302" s="83"/>
      <c r="D302" s="83"/>
      <c r="E302" s="83"/>
      <c r="F302" s="83"/>
      <c r="G302" s="83"/>
      <c r="H302" s="83"/>
      <c r="I302" s="83"/>
      <c r="J302" s="17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4.2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17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4.2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17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4.25" customHeight="1">
      <c r="A305" s="83"/>
      <c r="B305" s="83"/>
      <c r="C305" s="83"/>
      <c r="D305" s="83"/>
      <c r="E305" s="83"/>
      <c r="F305" s="83"/>
      <c r="G305" s="83"/>
      <c r="H305" s="83"/>
      <c r="I305" s="83"/>
      <c r="J305" s="17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4.2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17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4.2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17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4.25" customHeight="1">
      <c r="A308" s="83"/>
      <c r="B308" s="83"/>
      <c r="C308" s="83"/>
      <c r="D308" s="83"/>
      <c r="E308" s="83"/>
      <c r="F308" s="83"/>
      <c r="G308" s="83"/>
      <c r="H308" s="83"/>
      <c r="I308" s="83"/>
      <c r="J308" s="17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4.25" customHeight="1">
      <c r="A309" s="83"/>
      <c r="B309" s="83"/>
      <c r="C309" s="83"/>
      <c r="D309" s="83"/>
      <c r="E309" s="83"/>
      <c r="F309" s="83"/>
      <c r="G309" s="83"/>
      <c r="H309" s="83"/>
      <c r="I309" s="83"/>
      <c r="J309" s="17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4.25" customHeight="1">
      <c r="A310" s="83"/>
      <c r="B310" s="83"/>
      <c r="C310" s="83"/>
      <c r="D310" s="83"/>
      <c r="E310" s="83"/>
      <c r="F310" s="83"/>
      <c r="G310" s="83"/>
      <c r="H310" s="83"/>
      <c r="I310" s="83"/>
      <c r="J310" s="17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4.25" customHeight="1">
      <c r="A311" s="83"/>
      <c r="B311" s="83"/>
      <c r="C311" s="83"/>
      <c r="D311" s="83"/>
      <c r="E311" s="83"/>
      <c r="F311" s="83"/>
      <c r="G311" s="83"/>
      <c r="H311" s="83"/>
      <c r="I311" s="83"/>
      <c r="J311" s="17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4.2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17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4.25" customHeight="1">
      <c r="A313" s="83"/>
      <c r="B313" s="83"/>
      <c r="C313" s="83"/>
      <c r="D313" s="83"/>
      <c r="E313" s="83"/>
      <c r="F313" s="83"/>
      <c r="G313" s="83"/>
      <c r="H313" s="83"/>
      <c r="I313" s="83"/>
      <c r="J313" s="17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4.25" customHeight="1">
      <c r="A314" s="83"/>
      <c r="B314" s="83"/>
      <c r="C314" s="83"/>
      <c r="D314" s="83"/>
      <c r="E314" s="83"/>
      <c r="F314" s="83"/>
      <c r="G314" s="83"/>
      <c r="H314" s="83"/>
      <c r="I314" s="83"/>
      <c r="J314" s="17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4.2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17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4.2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17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4.25" customHeight="1">
      <c r="A317" s="83"/>
      <c r="B317" s="83"/>
      <c r="C317" s="83"/>
      <c r="D317" s="83"/>
      <c r="E317" s="83"/>
      <c r="F317" s="83"/>
      <c r="G317" s="83"/>
      <c r="H317" s="83"/>
      <c r="I317" s="83"/>
      <c r="J317" s="17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4.2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17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4.2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17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4.25" customHeight="1">
      <c r="A320" s="83"/>
      <c r="B320" s="83"/>
      <c r="C320" s="83"/>
      <c r="D320" s="83"/>
      <c r="E320" s="83"/>
      <c r="F320" s="83"/>
      <c r="G320" s="83"/>
      <c r="H320" s="83"/>
      <c r="I320" s="83"/>
      <c r="J320" s="17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4.25" customHeight="1">
      <c r="A321" s="83"/>
      <c r="B321" s="83"/>
      <c r="C321" s="83"/>
      <c r="D321" s="83"/>
      <c r="E321" s="83"/>
      <c r="F321" s="83"/>
      <c r="G321" s="83"/>
      <c r="H321" s="83"/>
      <c r="I321" s="83"/>
      <c r="J321" s="17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4.25" customHeight="1">
      <c r="A322" s="83"/>
      <c r="B322" s="83"/>
      <c r="C322" s="83"/>
      <c r="D322" s="83"/>
      <c r="E322" s="83"/>
      <c r="F322" s="83"/>
      <c r="G322" s="83"/>
      <c r="H322" s="83"/>
      <c r="I322" s="83"/>
      <c r="J322" s="17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4.25" customHeight="1">
      <c r="A323" s="83"/>
      <c r="B323" s="83"/>
      <c r="C323" s="83"/>
      <c r="D323" s="83"/>
      <c r="E323" s="83"/>
      <c r="F323" s="83"/>
      <c r="G323" s="83"/>
      <c r="H323" s="83"/>
      <c r="I323" s="83"/>
      <c r="J323" s="17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4.25" customHeight="1">
      <c r="A324" s="83"/>
      <c r="B324" s="83"/>
      <c r="C324" s="83"/>
      <c r="D324" s="83"/>
      <c r="E324" s="83"/>
      <c r="F324" s="83"/>
      <c r="G324" s="83"/>
      <c r="H324" s="83"/>
      <c r="I324" s="83"/>
      <c r="J324" s="17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4.25" customHeight="1">
      <c r="A325" s="83"/>
      <c r="B325" s="83"/>
      <c r="C325" s="83"/>
      <c r="D325" s="83"/>
      <c r="E325" s="83"/>
      <c r="F325" s="83"/>
      <c r="G325" s="83"/>
      <c r="H325" s="83"/>
      <c r="I325" s="83"/>
      <c r="J325" s="17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4.2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17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4.2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17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4.2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17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4.25" customHeight="1">
      <c r="A329" s="83"/>
      <c r="B329" s="83"/>
      <c r="C329" s="83"/>
      <c r="D329" s="83"/>
      <c r="E329" s="83"/>
      <c r="F329" s="83"/>
      <c r="G329" s="83"/>
      <c r="H329" s="83"/>
      <c r="I329" s="83"/>
      <c r="J329" s="17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4.2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17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4.2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17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4.25" customHeight="1">
      <c r="A332" s="83"/>
      <c r="B332" s="83"/>
      <c r="C332" s="83"/>
      <c r="D332" s="83"/>
      <c r="E332" s="83"/>
      <c r="F332" s="83"/>
      <c r="G332" s="83"/>
      <c r="H332" s="83"/>
      <c r="I332" s="83"/>
      <c r="J332" s="17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4.25" customHeight="1">
      <c r="A333" s="83"/>
      <c r="B333" s="83"/>
      <c r="C333" s="83"/>
      <c r="D333" s="83"/>
      <c r="E333" s="83"/>
      <c r="F333" s="83"/>
      <c r="G333" s="83"/>
      <c r="H333" s="83"/>
      <c r="I333" s="83"/>
      <c r="J333" s="17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4.25" customHeight="1">
      <c r="A334" s="83"/>
      <c r="B334" s="83"/>
      <c r="C334" s="83"/>
      <c r="D334" s="83"/>
      <c r="E334" s="83"/>
      <c r="F334" s="83"/>
      <c r="G334" s="83"/>
      <c r="H334" s="83"/>
      <c r="I334" s="83"/>
      <c r="J334" s="17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4.25" customHeight="1">
      <c r="A335" s="83"/>
      <c r="B335" s="83"/>
      <c r="C335" s="83"/>
      <c r="D335" s="83"/>
      <c r="E335" s="83"/>
      <c r="F335" s="83"/>
      <c r="G335" s="83"/>
      <c r="H335" s="83"/>
      <c r="I335" s="83"/>
      <c r="J335" s="17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4.25" customHeight="1">
      <c r="A336" s="83"/>
      <c r="B336" s="83"/>
      <c r="C336" s="83"/>
      <c r="D336" s="83"/>
      <c r="E336" s="83"/>
      <c r="F336" s="83"/>
      <c r="G336" s="83"/>
      <c r="H336" s="83"/>
      <c r="I336" s="83"/>
      <c r="J336" s="17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4.25" customHeight="1">
      <c r="A337" s="83"/>
      <c r="B337" s="83"/>
      <c r="C337" s="83"/>
      <c r="D337" s="83"/>
      <c r="E337" s="83"/>
      <c r="F337" s="83"/>
      <c r="G337" s="83"/>
      <c r="H337" s="83"/>
      <c r="I337" s="83"/>
      <c r="J337" s="17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4.25" customHeight="1">
      <c r="A338" s="83"/>
      <c r="B338" s="83"/>
      <c r="C338" s="83"/>
      <c r="D338" s="83"/>
      <c r="E338" s="83"/>
      <c r="F338" s="83"/>
      <c r="G338" s="83"/>
      <c r="H338" s="83"/>
      <c r="I338" s="83"/>
      <c r="J338" s="17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4.2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17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4.2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17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4.25" customHeight="1">
      <c r="A341" s="83"/>
      <c r="B341" s="83"/>
      <c r="C341" s="83"/>
      <c r="D341" s="83"/>
      <c r="E341" s="83"/>
      <c r="F341" s="83"/>
      <c r="G341" s="83"/>
      <c r="H341" s="83"/>
      <c r="I341" s="83"/>
      <c r="J341" s="17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4.2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17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4.2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17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4.25" customHeight="1">
      <c r="A344" s="83"/>
      <c r="B344" s="83"/>
      <c r="C344" s="83"/>
      <c r="D344" s="83"/>
      <c r="E344" s="83"/>
      <c r="F344" s="83"/>
      <c r="G344" s="83"/>
      <c r="H344" s="83"/>
      <c r="I344" s="83"/>
      <c r="J344" s="17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4.25" customHeight="1">
      <c r="A345" s="83"/>
      <c r="B345" s="83"/>
      <c r="C345" s="83"/>
      <c r="D345" s="83"/>
      <c r="E345" s="83"/>
      <c r="F345" s="83"/>
      <c r="G345" s="83"/>
      <c r="H345" s="83"/>
      <c r="I345" s="83"/>
      <c r="J345" s="17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4.25" customHeight="1">
      <c r="A346" s="83"/>
      <c r="B346" s="83"/>
      <c r="C346" s="83"/>
      <c r="D346" s="83"/>
      <c r="E346" s="83"/>
      <c r="F346" s="83"/>
      <c r="G346" s="83"/>
      <c r="H346" s="83"/>
      <c r="I346" s="83"/>
      <c r="J346" s="17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4.25" customHeight="1">
      <c r="A347" s="83"/>
      <c r="B347" s="83"/>
      <c r="C347" s="83"/>
      <c r="D347" s="83"/>
      <c r="E347" s="83"/>
      <c r="F347" s="83"/>
      <c r="G347" s="83"/>
      <c r="H347" s="83"/>
      <c r="I347" s="83"/>
      <c r="J347" s="17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4.25" customHeight="1">
      <c r="A348" s="83"/>
      <c r="B348" s="83"/>
      <c r="C348" s="83"/>
      <c r="D348" s="83"/>
      <c r="E348" s="83"/>
      <c r="F348" s="83"/>
      <c r="G348" s="83"/>
      <c r="H348" s="83"/>
      <c r="I348" s="83"/>
      <c r="J348" s="17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4.25" customHeight="1">
      <c r="A349" s="83"/>
      <c r="B349" s="83"/>
      <c r="C349" s="83"/>
      <c r="D349" s="83"/>
      <c r="E349" s="83"/>
      <c r="F349" s="83"/>
      <c r="G349" s="83"/>
      <c r="H349" s="83"/>
      <c r="I349" s="83"/>
      <c r="J349" s="17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4.25" customHeight="1">
      <c r="A350" s="83"/>
      <c r="B350" s="83"/>
      <c r="C350" s="83"/>
      <c r="D350" s="83"/>
      <c r="E350" s="83"/>
      <c r="F350" s="83"/>
      <c r="G350" s="83"/>
      <c r="H350" s="83"/>
      <c r="I350" s="83"/>
      <c r="J350" s="17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4.2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17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4.2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17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4.25" customHeight="1">
      <c r="A353" s="83"/>
      <c r="B353" s="83"/>
      <c r="C353" s="83"/>
      <c r="D353" s="83"/>
      <c r="E353" s="83"/>
      <c r="F353" s="83"/>
      <c r="G353" s="83"/>
      <c r="H353" s="83"/>
      <c r="I353" s="83"/>
      <c r="J353" s="17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4.2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17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4.2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17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4.25" customHeight="1">
      <c r="A356" s="83"/>
      <c r="B356" s="83"/>
      <c r="C356" s="83"/>
      <c r="D356" s="83"/>
      <c r="E356" s="83"/>
      <c r="F356" s="83"/>
      <c r="G356" s="83"/>
      <c r="H356" s="83"/>
      <c r="I356" s="83"/>
      <c r="J356" s="17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4.25" customHeight="1">
      <c r="A357" s="83"/>
      <c r="B357" s="83"/>
      <c r="C357" s="83"/>
      <c r="D357" s="83"/>
      <c r="E357" s="83"/>
      <c r="F357" s="83"/>
      <c r="G357" s="83"/>
      <c r="H357" s="83"/>
      <c r="I357" s="83"/>
      <c r="J357" s="17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4.25" customHeight="1">
      <c r="A358" s="83"/>
      <c r="B358" s="83"/>
      <c r="C358" s="83"/>
      <c r="D358" s="83"/>
      <c r="E358" s="83"/>
      <c r="F358" s="83"/>
      <c r="G358" s="83"/>
      <c r="H358" s="83"/>
      <c r="I358" s="83"/>
      <c r="J358" s="17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4.25" customHeight="1">
      <c r="A359" s="83"/>
      <c r="B359" s="83"/>
      <c r="C359" s="83"/>
      <c r="D359" s="83"/>
      <c r="E359" s="83"/>
      <c r="F359" s="83"/>
      <c r="G359" s="83"/>
      <c r="H359" s="83"/>
      <c r="I359" s="83"/>
      <c r="J359" s="17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4.25" customHeight="1">
      <c r="A360" s="83"/>
      <c r="B360" s="83"/>
      <c r="C360" s="83"/>
      <c r="D360" s="83"/>
      <c r="E360" s="83"/>
      <c r="F360" s="83"/>
      <c r="G360" s="83"/>
      <c r="H360" s="83"/>
      <c r="I360" s="83"/>
      <c r="J360" s="17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4.25" customHeight="1">
      <c r="A361" s="83"/>
      <c r="B361" s="83"/>
      <c r="C361" s="83"/>
      <c r="D361" s="83"/>
      <c r="E361" s="83"/>
      <c r="F361" s="83"/>
      <c r="G361" s="83"/>
      <c r="H361" s="83"/>
      <c r="I361" s="83"/>
      <c r="J361" s="17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4.25" customHeight="1">
      <c r="A362" s="83"/>
      <c r="B362" s="83"/>
      <c r="C362" s="83"/>
      <c r="D362" s="83"/>
      <c r="E362" s="83"/>
      <c r="F362" s="83"/>
      <c r="G362" s="83"/>
      <c r="H362" s="83"/>
      <c r="I362" s="83"/>
      <c r="J362" s="17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4.25" customHeight="1">
      <c r="A363" s="83"/>
      <c r="B363" s="83"/>
      <c r="C363" s="83"/>
      <c r="D363" s="83"/>
      <c r="E363" s="83"/>
      <c r="F363" s="83"/>
      <c r="G363" s="83"/>
      <c r="H363" s="83"/>
      <c r="I363" s="83"/>
      <c r="J363" s="17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4.2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17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4.2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17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4.25" customHeight="1">
      <c r="A366" s="83"/>
      <c r="B366" s="83"/>
      <c r="C366" s="83"/>
      <c r="D366" s="83"/>
      <c r="E366" s="83"/>
      <c r="F366" s="83"/>
      <c r="G366" s="83"/>
      <c r="H366" s="83"/>
      <c r="I366" s="83"/>
      <c r="J366" s="17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4.2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17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4.2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17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4.25" customHeight="1">
      <c r="A369" s="83"/>
      <c r="B369" s="83"/>
      <c r="C369" s="83"/>
      <c r="D369" s="83"/>
      <c r="E369" s="83"/>
      <c r="F369" s="83"/>
      <c r="G369" s="83"/>
      <c r="H369" s="83"/>
      <c r="I369" s="83"/>
      <c r="J369" s="17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4.25" customHeight="1">
      <c r="A370" s="83"/>
      <c r="B370" s="83"/>
      <c r="C370" s="83"/>
      <c r="D370" s="83"/>
      <c r="E370" s="83"/>
      <c r="F370" s="83"/>
      <c r="G370" s="83"/>
      <c r="H370" s="83"/>
      <c r="I370" s="83"/>
      <c r="J370" s="17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4.25" customHeight="1">
      <c r="A371" s="83"/>
      <c r="B371" s="83"/>
      <c r="C371" s="83"/>
      <c r="D371" s="83"/>
      <c r="E371" s="83"/>
      <c r="F371" s="83"/>
      <c r="G371" s="83"/>
      <c r="H371" s="83"/>
      <c r="I371" s="83"/>
      <c r="J371" s="17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4.25" customHeight="1">
      <c r="A372" s="83"/>
      <c r="B372" s="83"/>
      <c r="C372" s="83"/>
      <c r="D372" s="83"/>
      <c r="E372" s="83"/>
      <c r="F372" s="83"/>
      <c r="G372" s="83"/>
      <c r="H372" s="83"/>
      <c r="I372" s="83"/>
      <c r="J372" s="17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4.25" customHeight="1">
      <c r="A373" s="83"/>
      <c r="B373" s="83"/>
      <c r="C373" s="83"/>
      <c r="D373" s="83"/>
      <c r="E373" s="83"/>
      <c r="F373" s="83"/>
      <c r="G373" s="83"/>
      <c r="H373" s="83"/>
      <c r="I373" s="83"/>
      <c r="J373" s="17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4.25" customHeight="1">
      <c r="A374" s="83"/>
      <c r="B374" s="83"/>
      <c r="C374" s="83"/>
      <c r="D374" s="83"/>
      <c r="E374" s="83"/>
      <c r="F374" s="83"/>
      <c r="G374" s="83"/>
      <c r="H374" s="83"/>
      <c r="I374" s="83"/>
      <c r="J374" s="17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4.25" customHeight="1">
      <c r="A375" s="83"/>
      <c r="B375" s="83"/>
      <c r="C375" s="83"/>
      <c r="D375" s="83"/>
      <c r="E375" s="83"/>
      <c r="F375" s="83"/>
      <c r="G375" s="83"/>
      <c r="H375" s="83"/>
      <c r="I375" s="83"/>
      <c r="J375" s="17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4.25" customHeight="1">
      <c r="A376" s="83"/>
      <c r="B376" s="83"/>
      <c r="C376" s="83"/>
      <c r="D376" s="83"/>
      <c r="E376" s="83"/>
      <c r="F376" s="83"/>
      <c r="G376" s="83"/>
      <c r="H376" s="83"/>
      <c r="I376" s="83"/>
      <c r="J376" s="17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4.2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17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4.2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17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4.25" customHeight="1">
      <c r="A379" s="83"/>
      <c r="B379" s="83"/>
      <c r="C379" s="83"/>
      <c r="D379" s="83"/>
      <c r="E379" s="83"/>
      <c r="F379" s="83"/>
      <c r="G379" s="83"/>
      <c r="H379" s="83"/>
      <c r="I379" s="83"/>
      <c r="J379" s="17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4.2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17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4.2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17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4.2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17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4.2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17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4.2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17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4.2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17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4.2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17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4.2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17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4.2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17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4.2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17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4.2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17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4.2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17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4.2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17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4.2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17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4.2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17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4.2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17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4.2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17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4.2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17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4.2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17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4.2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17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4.2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17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4.2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17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4.2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17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4.2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17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4.2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17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4.2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17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4.2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17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4.2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17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4.2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17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4.2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17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4.2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17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4.2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17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4.2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17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4.2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17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4.2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17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4.2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17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4.2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17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4.2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17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4.2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17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4.2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17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4.2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17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4.2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17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4.2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17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4.2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17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4.2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17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4.2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17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4.2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17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4.2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17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4.2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17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4.2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17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4.2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17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4.2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17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4.2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17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4.2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17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4.2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17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4.2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17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4.2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17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4.2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17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4.2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17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4.2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17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4.2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17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4.2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17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4.2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17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4.2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17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4.2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17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4.2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17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4.2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17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4.2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17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4.2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17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4.2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17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4.2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17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4.2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17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4.2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17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4.2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17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4.2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17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4.2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17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4.2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17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4.2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17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4.2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17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4.2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17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4.2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17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4.2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17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4.2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17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4.2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17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4.2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17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4.2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17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4.2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17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4.2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17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4.2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17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4.2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17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4.2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17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4.2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17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4.2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17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4.2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17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4.2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17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4.2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17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4.2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17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4.2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17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4.2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17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4.2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17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4.2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17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4.2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17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4.2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17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4.2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17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4.2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17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4.2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17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4.2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17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4.2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17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4.2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17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4.2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17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4.2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17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4.2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17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4.2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17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4.2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17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4.2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17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4.2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17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4.2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17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4.2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17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4.2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17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4.2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17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4.2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17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4.2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17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4.2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17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4.2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17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4.2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17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4.2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17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4.2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17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4.2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17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4.2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17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4.2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17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4.2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17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4.2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17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4.2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17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4.2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17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4.2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17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4.2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17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4.2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17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4.2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17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4.2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17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4.2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17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4.2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17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4.2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17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4.2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17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4.2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17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4.2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17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4.2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17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4.2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17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4.2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17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4.2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17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4.2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17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4.2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17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4.2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17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4.2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17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4.2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17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4.2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17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4.2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17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4.2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17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4.2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17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4.2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17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4.2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17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4.2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17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4.2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17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4.2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17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4.2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17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4.2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17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4.2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17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4.2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17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4.2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17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4.2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17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4.2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17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4.2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17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4.2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17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4.2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17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4.2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17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4.2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17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4.2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17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4.2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17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4.2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17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4.2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17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4.2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17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4.2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17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4.2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17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4.2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17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4.2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17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4.2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17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4.2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17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4.2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17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4.2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17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4.2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17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4.2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17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4.2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17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4.2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17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4.2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17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4.2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17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4.2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17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4.2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17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4.2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17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4.2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17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4.2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17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4.2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17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4.2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17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4.2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17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4.2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17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4.2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17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4.2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17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4.2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17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4.2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17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4.2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17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4.2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17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4.2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17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4.2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17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4.2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17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4.2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17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4.2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17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4.2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17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4.2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17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4.2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17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4.2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17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4.2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17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4.2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17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4.2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17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4.2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17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4.2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17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4.2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17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4.2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17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4.2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17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4.2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17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4.2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17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4.2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17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4.2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17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4.2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17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4.2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17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4.2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17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4.2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17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4.2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17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4.2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17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4.2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17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4.2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17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4.2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17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4.2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17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4.2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17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4.2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17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4.2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17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4.2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17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4.2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17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4.2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17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4.2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17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4.2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17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4.2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17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4.2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17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4.2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17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4.2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17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4.2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17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4.2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17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4.2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17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4.2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17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4.2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17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4.2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17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4.2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17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4.2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17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4.2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17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4.2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17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4.2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17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4.2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17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4.2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17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4.2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17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4.2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17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4.2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17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4.2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17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4.2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17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4.2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17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4.2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17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4.2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17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4.2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17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4.2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17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4.2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17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4.2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17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4.2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17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4.2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17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4.2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17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4.2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17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4.2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17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4.2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17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4.2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17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4.2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17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4.2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17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4.2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17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4.2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17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4.2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17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4.2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17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4.2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17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4.2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17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4.2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17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4.2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17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4.2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17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4.2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17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4.2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17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4.2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17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4.2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17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4.2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17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4.2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17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4.2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17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4.2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17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4.2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17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4.2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17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4.2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17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4.2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17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4.2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17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4.2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17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4.2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17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4.2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17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4.2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17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4.2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17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4.2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17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4.2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17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4.2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17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4.2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17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4.2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17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4.2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17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4.2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17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4.2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17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4.2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17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4.2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17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4.2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17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4.2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17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4.2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17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4.2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17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4.2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17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4.2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17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4.2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17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4.2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17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4.2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17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4.2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17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4.2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17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4.2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17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4.2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17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4.2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17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4.2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17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4.2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17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4.2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17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4.2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17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4.2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17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4.2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17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4.2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17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4.2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17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4.2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17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4.2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17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4.2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17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4.2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17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4.2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17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4.2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17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4.2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17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4.2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17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4.2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17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4.2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17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4.2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17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4.2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17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4.2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17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4.2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17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4.2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17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4.2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17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4.2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17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4.2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17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4.2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17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4.2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17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4.2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17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4.2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17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4.2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17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4.2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17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4.2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17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4.2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17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4.2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17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4.2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17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4.2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17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4.2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17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4.2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17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4.2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17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4.2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17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4.2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17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4.2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17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4.2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17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4.2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17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4.2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17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4.2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17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4.2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17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4.2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17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4.2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17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4.2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17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4.2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17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4.2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17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4.2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17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4.2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17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4.2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17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4.2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17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4.2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17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4.2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17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4.2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17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4.2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17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4.2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17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4.2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17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4.2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17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4.2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17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4.2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17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4.2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17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4.2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17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4.2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17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4.2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17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4.2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17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4.2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17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4.2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17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4.2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17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4.2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17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4.2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17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4.2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17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4.2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17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4.2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17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4.2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17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4.2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17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4.2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17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4.2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17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4.2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17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4.2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17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4.2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17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4.2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17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4.2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17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4.2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17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4.2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17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4.2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17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4.2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17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4.2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17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4.2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17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4.2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17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4.2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17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4.2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17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4.2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17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4.2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17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4.2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17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4.2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17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4.2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17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4.2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17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4.2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17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4.2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17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4.2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17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4.2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17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4.2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17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4.2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17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4.2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17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4.2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17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4.2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17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4.2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17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4.2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17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4.2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17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4.2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17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4.2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17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4.2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17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4.2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17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4.2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17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4.2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17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4.2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17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4.2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17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4.2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17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4.2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17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4.2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17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4.2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17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4.2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17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4.2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17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4.2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17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4.2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17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4.2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17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4.2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17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4.2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17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4.2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17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4.2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17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4.2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17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4.2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17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4.2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17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4.2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17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4.2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17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4.2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17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4.2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17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4.2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17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4.2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17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4.2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17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4.2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17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4.2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17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4.2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17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4.2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17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4.2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17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4.2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17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4.2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17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4.2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17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4.2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17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4.2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17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4.2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17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4.2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17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4.2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17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4.2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17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4.2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17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4.2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17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4.2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17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4.2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17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4.2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17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4.2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17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4.2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17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4.2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17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4.2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17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4.2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17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4.2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17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4.2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17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4.2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17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4.2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17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4.2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17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4.2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17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4.2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17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4.2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17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4.2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17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4.2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17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4.2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17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4.2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17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4.2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17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4.2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17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4.2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17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4.2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17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4.2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17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4.2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17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4.2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17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4.2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17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4.2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17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4.2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17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4.2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17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4.2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17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4.2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17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4.2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17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4.2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17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4.2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17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4.2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17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4.2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17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4.2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17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4.2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17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4.2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17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4.2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17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4.2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17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4.2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17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4.2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17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4.2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17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4.2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17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4.2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17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4.2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17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4.2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17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4.2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17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4.2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17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4.2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17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4.2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17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4.2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17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4.2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17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4.2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17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4.2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17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4.2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17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4.2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17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4.2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17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4.2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17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4.2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17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4.25" customHeight="1">
      <c r="A942" s="83"/>
      <c r="B942" s="83"/>
      <c r="C942" s="83"/>
      <c r="D942" s="83"/>
      <c r="E942" s="83"/>
      <c r="F942" s="83"/>
      <c r="G942" s="83"/>
      <c r="H942" s="83"/>
      <c r="I942" s="83"/>
      <c r="J942" s="17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4.25" customHeight="1">
      <c r="A943" s="83"/>
      <c r="B943" s="83"/>
      <c r="C943" s="83"/>
      <c r="D943" s="83"/>
      <c r="E943" s="83"/>
      <c r="F943" s="83"/>
      <c r="G943" s="83"/>
      <c r="H943" s="83"/>
      <c r="I943" s="83"/>
      <c r="J943" s="17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4.25" customHeight="1">
      <c r="A944" s="83"/>
      <c r="B944" s="83"/>
      <c r="C944" s="83"/>
      <c r="D944" s="83"/>
      <c r="E944" s="83"/>
      <c r="F944" s="83"/>
      <c r="G944" s="83"/>
      <c r="H944" s="83"/>
      <c r="I944" s="83"/>
      <c r="J944" s="17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4.25" customHeight="1">
      <c r="A945" s="83"/>
      <c r="B945" s="83"/>
      <c r="C945" s="83"/>
      <c r="D945" s="83"/>
      <c r="E945" s="83"/>
      <c r="F945" s="83"/>
      <c r="G945" s="83"/>
      <c r="H945" s="83"/>
      <c r="I945" s="83"/>
      <c r="J945" s="17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4.25" customHeight="1">
      <c r="A946" s="83"/>
      <c r="B946" s="83"/>
      <c r="C946" s="83"/>
      <c r="D946" s="83"/>
      <c r="E946" s="83"/>
      <c r="F946" s="83"/>
      <c r="G946" s="83"/>
      <c r="H946" s="83"/>
      <c r="I946" s="83"/>
      <c r="J946" s="17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4.25" customHeight="1">
      <c r="A947" s="83"/>
      <c r="B947" s="83"/>
      <c r="C947" s="83"/>
      <c r="D947" s="83"/>
      <c r="E947" s="83"/>
      <c r="F947" s="83"/>
      <c r="G947" s="83"/>
      <c r="H947" s="83"/>
      <c r="I947" s="83"/>
      <c r="J947" s="17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4.25" customHeight="1">
      <c r="A948" s="83"/>
      <c r="B948" s="83"/>
      <c r="C948" s="83"/>
      <c r="D948" s="83"/>
      <c r="E948" s="83"/>
      <c r="F948" s="83"/>
      <c r="G948" s="83"/>
      <c r="H948" s="83"/>
      <c r="I948" s="83"/>
      <c r="J948" s="17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4.25" customHeight="1">
      <c r="A949" s="83"/>
      <c r="B949" s="83"/>
      <c r="C949" s="83"/>
      <c r="D949" s="83"/>
      <c r="E949" s="83"/>
      <c r="F949" s="83"/>
      <c r="G949" s="83"/>
      <c r="H949" s="83"/>
      <c r="I949" s="83"/>
      <c r="J949" s="17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4.25" customHeight="1">
      <c r="A950" s="83"/>
      <c r="B950" s="83"/>
      <c r="C950" s="83"/>
      <c r="D950" s="83"/>
      <c r="E950" s="83"/>
      <c r="F950" s="83"/>
      <c r="G950" s="83"/>
      <c r="H950" s="83"/>
      <c r="I950" s="83"/>
      <c r="J950" s="17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4.25" customHeight="1">
      <c r="A951" s="83"/>
      <c r="B951" s="83"/>
      <c r="C951" s="83"/>
      <c r="D951" s="83"/>
      <c r="E951" s="83"/>
      <c r="F951" s="83"/>
      <c r="G951" s="83"/>
      <c r="H951" s="83"/>
      <c r="I951" s="83"/>
      <c r="J951" s="17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4.25" customHeight="1">
      <c r="A952" s="83"/>
      <c r="B952" s="83"/>
      <c r="C952" s="83"/>
      <c r="D952" s="83"/>
      <c r="E952" s="83"/>
      <c r="F952" s="83"/>
      <c r="G952" s="83"/>
      <c r="H952" s="83"/>
      <c r="I952" s="83"/>
      <c r="J952" s="17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4.25" customHeight="1">
      <c r="A953" s="83"/>
      <c r="B953" s="83"/>
      <c r="C953" s="83"/>
      <c r="D953" s="83"/>
      <c r="E953" s="83"/>
      <c r="F953" s="83"/>
      <c r="G953" s="83"/>
      <c r="H953" s="83"/>
      <c r="I953" s="83"/>
      <c r="J953" s="17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4.25" customHeight="1">
      <c r="A954" s="83"/>
      <c r="B954" s="83"/>
      <c r="C954" s="83"/>
      <c r="D954" s="83"/>
      <c r="E954" s="83"/>
      <c r="F954" s="83"/>
      <c r="G954" s="83"/>
      <c r="H954" s="83"/>
      <c r="I954" s="83"/>
      <c r="J954" s="17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4.25" customHeight="1">
      <c r="A955" s="83"/>
      <c r="B955" s="83"/>
      <c r="C955" s="83"/>
      <c r="D955" s="83"/>
      <c r="E955" s="83"/>
      <c r="F955" s="83"/>
      <c r="G955" s="83"/>
      <c r="H955" s="83"/>
      <c r="I955" s="83"/>
      <c r="J955" s="17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4.25" customHeight="1">
      <c r="A956" s="83"/>
      <c r="B956" s="83"/>
      <c r="C956" s="83"/>
      <c r="D956" s="83"/>
      <c r="E956" s="83"/>
      <c r="F956" s="83"/>
      <c r="G956" s="83"/>
      <c r="H956" s="83"/>
      <c r="I956" s="83"/>
      <c r="J956" s="17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4.25" customHeight="1">
      <c r="A957" s="83"/>
      <c r="B957" s="83"/>
      <c r="C957" s="83"/>
      <c r="D957" s="83"/>
      <c r="E957" s="83"/>
      <c r="F957" s="83"/>
      <c r="G957" s="83"/>
      <c r="H957" s="83"/>
      <c r="I957" s="83"/>
      <c r="J957" s="17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4.25" customHeight="1">
      <c r="A958" s="83"/>
      <c r="B958" s="83"/>
      <c r="C958" s="83"/>
      <c r="D958" s="83"/>
      <c r="E958" s="83"/>
      <c r="F958" s="83"/>
      <c r="G958" s="83"/>
      <c r="H958" s="83"/>
      <c r="I958" s="83"/>
      <c r="J958" s="17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4.25" customHeight="1">
      <c r="A959" s="83"/>
      <c r="B959" s="83"/>
      <c r="C959" s="83"/>
      <c r="D959" s="83"/>
      <c r="E959" s="83"/>
      <c r="F959" s="83"/>
      <c r="G959" s="83"/>
      <c r="H959" s="83"/>
      <c r="I959" s="83"/>
      <c r="J959" s="17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4.25" customHeight="1">
      <c r="A960" s="83"/>
      <c r="B960" s="83"/>
      <c r="C960" s="83"/>
      <c r="D960" s="83"/>
      <c r="E960" s="83"/>
      <c r="F960" s="83"/>
      <c r="G960" s="83"/>
      <c r="H960" s="83"/>
      <c r="I960" s="83"/>
      <c r="J960" s="17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4.25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17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4.25" customHeight="1">
      <c r="A962" s="83"/>
      <c r="B962" s="83"/>
      <c r="C962" s="83"/>
      <c r="D962" s="83"/>
      <c r="E962" s="83"/>
      <c r="F962" s="83"/>
      <c r="G962" s="83"/>
      <c r="H962" s="83"/>
      <c r="I962" s="83"/>
      <c r="J962" s="17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4.25" customHeight="1">
      <c r="A963" s="83"/>
      <c r="B963" s="83"/>
      <c r="C963" s="83"/>
      <c r="D963" s="83"/>
      <c r="E963" s="83"/>
      <c r="F963" s="83"/>
      <c r="G963" s="83"/>
      <c r="H963" s="83"/>
      <c r="I963" s="83"/>
      <c r="J963" s="17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4.25" customHeight="1">
      <c r="A964" s="83"/>
      <c r="B964" s="83"/>
      <c r="C964" s="83"/>
      <c r="D964" s="83"/>
      <c r="E964" s="83"/>
      <c r="F964" s="83"/>
      <c r="G964" s="83"/>
      <c r="H964" s="83"/>
      <c r="I964" s="83"/>
      <c r="J964" s="17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4.25" customHeight="1">
      <c r="A965" s="83"/>
      <c r="B965" s="83"/>
      <c r="C965" s="83"/>
      <c r="D965" s="83"/>
      <c r="E965" s="83"/>
      <c r="F965" s="83"/>
      <c r="G965" s="83"/>
      <c r="H965" s="83"/>
      <c r="I965" s="83"/>
      <c r="J965" s="17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4.25" customHeight="1">
      <c r="A966" s="83"/>
      <c r="B966" s="83"/>
      <c r="C966" s="83"/>
      <c r="D966" s="83"/>
      <c r="E966" s="83"/>
      <c r="F966" s="83"/>
      <c r="G966" s="83"/>
      <c r="H966" s="83"/>
      <c r="I966" s="83"/>
      <c r="J966" s="17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4.25" customHeight="1">
      <c r="A967" s="83"/>
      <c r="B967" s="83"/>
      <c r="C967" s="83"/>
      <c r="D967" s="83"/>
      <c r="E967" s="83"/>
      <c r="F967" s="83"/>
      <c r="G967" s="83"/>
      <c r="H967" s="83"/>
      <c r="I967" s="83"/>
      <c r="J967" s="17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4.25" customHeight="1">
      <c r="A968" s="83"/>
      <c r="B968" s="83"/>
      <c r="C968" s="83"/>
      <c r="D968" s="83"/>
      <c r="E968" s="83"/>
      <c r="F968" s="83"/>
      <c r="G968" s="83"/>
      <c r="H968" s="83"/>
      <c r="I968" s="83"/>
      <c r="J968" s="17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4.25" customHeight="1">
      <c r="A969" s="83"/>
      <c r="B969" s="83"/>
      <c r="C969" s="83"/>
      <c r="D969" s="83"/>
      <c r="E969" s="83"/>
      <c r="F969" s="83"/>
      <c r="G969" s="83"/>
      <c r="H969" s="83"/>
      <c r="I969" s="83"/>
      <c r="J969" s="17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4.25" customHeight="1">
      <c r="A970" s="83"/>
      <c r="B970" s="83"/>
      <c r="C970" s="83"/>
      <c r="D970" s="83"/>
      <c r="E970" s="83"/>
      <c r="F970" s="83"/>
      <c r="G970" s="83"/>
      <c r="H970" s="83"/>
      <c r="I970" s="83"/>
      <c r="J970" s="17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4.25" customHeight="1">
      <c r="A971" s="83"/>
      <c r="B971" s="83"/>
      <c r="C971" s="83"/>
      <c r="D971" s="83"/>
      <c r="E971" s="83"/>
      <c r="F971" s="83"/>
      <c r="G971" s="83"/>
      <c r="H971" s="83"/>
      <c r="I971" s="83"/>
      <c r="J971" s="17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4.25" customHeight="1">
      <c r="A972" s="83"/>
      <c r="B972" s="83"/>
      <c r="C972" s="83"/>
      <c r="D972" s="83"/>
      <c r="E972" s="83"/>
      <c r="F972" s="83"/>
      <c r="G972" s="83"/>
      <c r="H972" s="83"/>
      <c r="I972" s="83"/>
      <c r="J972" s="17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4.25" customHeight="1">
      <c r="A973" s="83"/>
      <c r="B973" s="83"/>
      <c r="C973" s="83"/>
      <c r="D973" s="83"/>
      <c r="E973" s="83"/>
      <c r="F973" s="83"/>
      <c r="G973" s="83"/>
      <c r="H973" s="83"/>
      <c r="I973" s="83"/>
      <c r="J973" s="17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4.25" customHeight="1">
      <c r="A974" s="83"/>
      <c r="B974" s="83"/>
      <c r="C974" s="83"/>
      <c r="D974" s="83"/>
      <c r="E974" s="83"/>
      <c r="F974" s="83"/>
      <c r="G974" s="83"/>
      <c r="H974" s="83"/>
      <c r="I974" s="83"/>
      <c r="J974" s="17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4.25" customHeight="1">
      <c r="A975" s="83"/>
      <c r="B975" s="83"/>
      <c r="C975" s="83"/>
      <c r="D975" s="83"/>
      <c r="E975" s="83"/>
      <c r="F975" s="83"/>
      <c r="G975" s="83"/>
      <c r="H975" s="83"/>
      <c r="I975" s="83"/>
      <c r="J975" s="17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4.25" customHeight="1">
      <c r="A976" s="83"/>
      <c r="B976" s="83"/>
      <c r="C976" s="83"/>
      <c r="D976" s="83"/>
      <c r="E976" s="83"/>
      <c r="F976" s="83"/>
      <c r="G976" s="83"/>
      <c r="H976" s="83"/>
      <c r="I976" s="83"/>
      <c r="J976" s="17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4.25" customHeight="1">
      <c r="A977" s="83"/>
      <c r="B977" s="83"/>
      <c r="C977" s="83"/>
      <c r="D977" s="83"/>
      <c r="E977" s="83"/>
      <c r="F977" s="83"/>
      <c r="G977" s="83"/>
      <c r="H977" s="83"/>
      <c r="I977" s="83"/>
      <c r="J977" s="17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4.25" customHeight="1">
      <c r="A978" s="83"/>
      <c r="B978" s="83"/>
      <c r="C978" s="83"/>
      <c r="D978" s="83"/>
      <c r="E978" s="83"/>
      <c r="F978" s="83"/>
      <c r="G978" s="83"/>
      <c r="H978" s="83"/>
      <c r="I978" s="83"/>
      <c r="J978" s="17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4.25" customHeight="1">
      <c r="A979" s="83"/>
      <c r="B979" s="83"/>
      <c r="C979" s="83"/>
      <c r="D979" s="83"/>
      <c r="E979" s="83"/>
      <c r="F979" s="83"/>
      <c r="G979" s="83"/>
      <c r="H979" s="83"/>
      <c r="I979" s="83"/>
      <c r="J979" s="17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4.25" customHeight="1">
      <c r="A980" s="83"/>
      <c r="B980" s="83"/>
      <c r="C980" s="83"/>
      <c r="D980" s="83"/>
      <c r="E980" s="83"/>
      <c r="F980" s="83"/>
      <c r="G980" s="83"/>
      <c r="H980" s="83"/>
      <c r="I980" s="83"/>
      <c r="J980" s="17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4.25" customHeight="1">
      <c r="A981" s="83"/>
      <c r="B981" s="83"/>
      <c r="C981" s="83"/>
      <c r="D981" s="83"/>
      <c r="E981" s="83"/>
      <c r="F981" s="83"/>
      <c r="G981" s="83"/>
      <c r="H981" s="83"/>
      <c r="I981" s="83"/>
      <c r="J981" s="17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4.25" customHeight="1">
      <c r="A982" s="83"/>
      <c r="B982" s="83"/>
      <c r="C982" s="83"/>
      <c r="D982" s="83"/>
      <c r="E982" s="83"/>
      <c r="F982" s="83"/>
      <c r="G982" s="83"/>
      <c r="H982" s="83"/>
      <c r="I982" s="83"/>
      <c r="J982" s="17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4.25" customHeight="1">
      <c r="A983" s="83"/>
      <c r="B983" s="83"/>
      <c r="C983" s="83"/>
      <c r="D983" s="83"/>
      <c r="E983" s="83"/>
      <c r="F983" s="83"/>
      <c r="G983" s="83"/>
      <c r="H983" s="83"/>
      <c r="I983" s="83"/>
      <c r="J983" s="17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4.25" customHeight="1">
      <c r="A984" s="83"/>
      <c r="B984" s="83"/>
      <c r="C984" s="83"/>
      <c r="D984" s="83"/>
      <c r="E984" s="83"/>
      <c r="F984" s="83"/>
      <c r="G984" s="83"/>
      <c r="H984" s="83"/>
      <c r="I984" s="83"/>
      <c r="J984" s="17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4.25" customHeight="1">
      <c r="A985" s="83"/>
      <c r="B985" s="83"/>
      <c r="C985" s="83"/>
      <c r="D985" s="83"/>
      <c r="E985" s="83"/>
      <c r="F985" s="83"/>
      <c r="G985" s="83"/>
      <c r="H985" s="83"/>
      <c r="I985" s="83"/>
      <c r="J985" s="17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4.25" customHeight="1">
      <c r="A986" s="83"/>
      <c r="B986" s="83"/>
      <c r="C986" s="83"/>
      <c r="D986" s="83"/>
      <c r="E986" s="83"/>
      <c r="F986" s="83"/>
      <c r="G986" s="83"/>
      <c r="H986" s="83"/>
      <c r="I986" s="83"/>
      <c r="J986" s="17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4.25" customHeight="1">
      <c r="A987" s="83"/>
      <c r="B987" s="83"/>
      <c r="C987" s="83"/>
      <c r="D987" s="83"/>
      <c r="E987" s="83"/>
      <c r="F987" s="83"/>
      <c r="G987" s="83"/>
      <c r="H987" s="83"/>
      <c r="I987" s="83"/>
      <c r="J987" s="17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4.25" customHeight="1">
      <c r="A988" s="83"/>
      <c r="B988" s="83"/>
      <c r="C988" s="83"/>
      <c r="D988" s="83"/>
      <c r="E988" s="83"/>
      <c r="F988" s="83"/>
      <c r="G988" s="83"/>
      <c r="H988" s="83"/>
      <c r="I988" s="83"/>
      <c r="J988" s="17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4.25" customHeight="1">
      <c r="A989" s="83"/>
      <c r="B989" s="83"/>
      <c r="C989" s="83"/>
      <c r="D989" s="83"/>
      <c r="E989" s="83"/>
      <c r="F989" s="83"/>
      <c r="G989" s="83"/>
      <c r="H989" s="83"/>
      <c r="I989" s="83"/>
      <c r="J989" s="17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4.25" customHeight="1">
      <c r="A990" s="83"/>
      <c r="B990" s="83"/>
      <c r="C990" s="83"/>
      <c r="D990" s="83"/>
      <c r="E990" s="83"/>
      <c r="F990" s="83"/>
      <c r="G990" s="83"/>
      <c r="H990" s="83"/>
      <c r="I990" s="83"/>
      <c r="J990" s="17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4.25" customHeight="1">
      <c r="A991" s="83"/>
      <c r="B991" s="83"/>
      <c r="C991" s="83"/>
      <c r="D991" s="83"/>
      <c r="E991" s="83"/>
      <c r="F991" s="83"/>
      <c r="G991" s="83"/>
      <c r="H991" s="83"/>
      <c r="I991" s="83"/>
      <c r="J991" s="17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4.25" customHeight="1">
      <c r="A992" s="83"/>
      <c r="B992" s="83"/>
      <c r="C992" s="83"/>
      <c r="D992" s="83"/>
      <c r="E992" s="83"/>
      <c r="F992" s="83"/>
      <c r="G992" s="83"/>
      <c r="H992" s="83"/>
      <c r="I992" s="83"/>
      <c r="J992" s="17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4.25" customHeight="1">
      <c r="A993" s="83"/>
      <c r="B993" s="83"/>
      <c r="C993" s="83"/>
      <c r="D993" s="83"/>
      <c r="E993" s="83"/>
      <c r="F993" s="83"/>
      <c r="G993" s="83"/>
      <c r="H993" s="83"/>
      <c r="I993" s="83"/>
      <c r="J993" s="17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4.25" customHeight="1">
      <c r="A994" s="83"/>
      <c r="B994" s="83"/>
      <c r="C994" s="83"/>
      <c r="D994" s="83"/>
      <c r="E994" s="83"/>
      <c r="F994" s="83"/>
      <c r="G994" s="83"/>
      <c r="H994" s="83"/>
      <c r="I994" s="83"/>
      <c r="J994" s="17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4.25" customHeight="1">
      <c r="A995" s="83"/>
      <c r="B995" s="83"/>
      <c r="C995" s="83"/>
      <c r="D995" s="83"/>
      <c r="E995" s="83"/>
      <c r="F995" s="83"/>
      <c r="G995" s="83"/>
      <c r="H995" s="83"/>
      <c r="I995" s="83"/>
      <c r="J995" s="17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4.25" customHeight="1">
      <c r="A996" s="83"/>
      <c r="B996" s="83"/>
      <c r="C996" s="83"/>
      <c r="D996" s="83"/>
      <c r="E996" s="83"/>
      <c r="F996" s="83"/>
      <c r="G996" s="83"/>
      <c r="H996" s="83"/>
      <c r="I996" s="83"/>
      <c r="J996" s="17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4.25" customHeight="1">
      <c r="A997" s="83"/>
      <c r="B997" s="83"/>
      <c r="C997" s="83"/>
      <c r="D997" s="83"/>
      <c r="E997" s="83"/>
      <c r="F997" s="83"/>
      <c r="G997" s="83"/>
      <c r="H997" s="83"/>
      <c r="I997" s="83"/>
      <c r="J997" s="17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4.25" customHeight="1">
      <c r="A998" s="83"/>
      <c r="B998" s="83"/>
      <c r="C998" s="83"/>
      <c r="D998" s="83"/>
      <c r="E998" s="83"/>
      <c r="F998" s="83"/>
      <c r="G998" s="83"/>
      <c r="H998" s="83"/>
      <c r="I998" s="83"/>
      <c r="J998" s="17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4.25" customHeight="1">
      <c r="A999" s="83"/>
      <c r="B999" s="83"/>
      <c r="C999" s="83"/>
      <c r="D999" s="83"/>
      <c r="E999" s="83"/>
      <c r="F999" s="83"/>
      <c r="G999" s="83"/>
      <c r="H999" s="83"/>
      <c r="I999" s="83"/>
      <c r="J999" s="17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4.25" customHeight="1">
      <c r="A1000" s="83"/>
      <c r="B1000" s="83"/>
      <c r="C1000" s="83"/>
      <c r="D1000" s="83"/>
      <c r="E1000" s="83"/>
      <c r="F1000" s="83"/>
      <c r="G1000" s="83"/>
      <c r="H1000" s="83"/>
      <c r="I1000" s="83"/>
      <c r="J1000" s="17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4">
    <mergeCell ref="A63:F63"/>
    <mergeCell ref="A64:F64"/>
    <mergeCell ref="A65:F65"/>
    <mergeCell ref="A67:F67"/>
  </mergeCells>
  <printOptions/>
  <pageMargins bottom="0.1968503937007874" footer="0.0" header="0.0" left="0.2362204724409449" right="0.2362204724409449" top="0.1968503937007874"/>
  <pageSetup orientation="landscape"/>
  <drawing r:id="rId1"/>
</worksheet>
</file>